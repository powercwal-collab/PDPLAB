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ebaec03bf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总表" sheetId="1" r:id="R4d6a1eb5e3bd4c74"/>
    <x:sheet xmlns:r="http://schemas.openxmlformats.org/officeDocument/2006/relationships" name="评分细则" sheetId="2" r:id="Rbebcd2d2f8674a8c"/>
    <x:sheet xmlns:r="http://schemas.openxmlformats.org/officeDocument/2006/relationships" name="头图图集评分" sheetId="3" r:id="R439df200fa6a42b9"/>
    <x:sheet xmlns:r="http://schemas.openxmlformats.org/officeDocument/2006/relationships" name="详情页评分" sheetId="4" r:id="Rc9c72842aef64c7f"/>
    <x:sheet xmlns:r="http://schemas.openxmlformats.org/officeDocument/2006/relationships" name="星级规则" sheetId="5" r:id="Rfc90ede7b18c43f6"/>
    <x:sheet xmlns:r="http://schemas.openxmlformats.org/officeDocument/2006/relationships" name="评分逻辑案例" sheetId="6" r:id="R259503fc78134c42"/>
    <x:sheet xmlns:r="http://schemas.openxmlformats.org/officeDocument/2006/relationships" name="星级案例演示" sheetId="7" r:id="R1ea8337130b94f28"/>
    <x:sheet xmlns:r="http://schemas.openxmlformats.org/officeDocument/2006/relationships" name="PDP页面结构模板" sheetId="8" r:id="R130df98fa4644a04"/>
    <x:sheet xmlns:r="http://schemas.openxmlformats.org/officeDocument/2006/relationships" name="模块结构定义" sheetId="9" r:id="R3b8cf2eee7d64978"/>
    <x:sheet xmlns:r="http://schemas.openxmlformats.org/officeDocument/2006/relationships" name="汇报页模板" sheetId="10" r:id="R1f4cd5ed3e204390"/>
    <x:sheet xmlns:r="http://schemas.openxmlformats.org/officeDocument/2006/relationships" name="素材星级映射" sheetId="11" r:id="R527501fdb55a4ab9"/>
    <x:sheet xmlns:r="http://schemas.openxmlformats.org/officeDocument/2006/relationships" name="走查输出模板" sheetId="12" r:id="R622ddae2902a4835"/>
    <x:sheet xmlns:r="http://schemas.openxmlformats.org/officeDocument/2006/relationships" name="验证指标" sheetId="13" r:id="Rce8614de31884be2"/>
    <x:sheet xmlns:r="http://schemas.openxmlformats.org/officeDocument/2006/relationships" name="素材Brief优先级" sheetId="14" r:id="R60a6e3ce84d14c6c"/>
    <x:sheet xmlns:r="http://schemas.openxmlformats.org/officeDocument/2006/relationships" name="来源与使用说明" sheetId="15" r:id="R8a416b711534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0"/>
      <x:name val="Carlito"/>
    </x:font>
    <x:font>
      <x:b/>
      <x:sz val="18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1F2937"/>
      </x:patternFill>
    </x:fill>
    <x:fill>
      <x:patternFill patternType="solid">
        <x:fgColor rgb="FFFAFAFA"/>
      </x:patternFill>
    </x:fill>
    <x:fill>
      <x:patternFill patternType="solid">
        <x:fgColor rgb="FFFFF3EA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</x:fills>
  <x:borders count="1">
    <x:border/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top"/>
    </x:xf>
    <x:xf numFmtId="0" fontId="8" fillId="0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horizontal="center" vertical="top"/>
    </x:xf>
    <x:xf numFmtId="0" fontId="7" fillId="2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42b7126294f9a" /><Relationship Type="http://schemas.openxmlformats.org/officeDocument/2006/relationships/theme" Target="/xl/theme/theme1.xml" Id="R58616af7ef004c57" /><Relationship Type="http://schemas.openxmlformats.org/officeDocument/2006/relationships/sharedStrings" Target="/xl/sharedStrings.xml" Id="R07dccd820960452e" /><Relationship Type="http://schemas.openxmlformats.org/officeDocument/2006/relationships/worksheet" Target="/xl/worksheets/sheet1.xml" Id="R4d6a1eb5e3bd4c74" /><Relationship Type="http://schemas.openxmlformats.org/officeDocument/2006/relationships/worksheet" Target="/xl/worksheets/sheet2.xml" Id="Rbebcd2d2f8674a8c" /><Relationship Type="http://schemas.openxmlformats.org/officeDocument/2006/relationships/worksheet" Target="/xl/worksheets/sheet3.xml" Id="R439df200fa6a42b9" /><Relationship Type="http://schemas.openxmlformats.org/officeDocument/2006/relationships/worksheet" Target="/xl/worksheets/sheet4.xml" Id="Rc9c72842aef64c7f" /><Relationship Type="http://schemas.openxmlformats.org/officeDocument/2006/relationships/worksheet" Target="/xl/worksheets/sheet5.xml" Id="Rfc90ede7b18c43f6" /><Relationship Type="http://schemas.openxmlformats.org/officeDocument/2006/relationships/worksheet" Target="/xl/worksheets/sheet6.xml" Id="R259503fc78134c42" /><Relationship Type="http://schemas.openxmlformats.org/officeDocument/2006/relationships/worksheet" Target="/xl/worksheets/sheet7.xml" Id="R1ea8337130b94f28" /><Relationship Type="http://schemas.openxmlformats.org/officeDocument/2006/relationships/worksheet" Target="/xl/worksheets/sheet8.xml" Id="R130df98fa4644a04" /><Relationship Type="http://schemas.openxmlformats.org/officeDocument/2006/relationships/worksheet" Target="/xl/worksheets/sheet9.xml" Id="R3b8cf2eee7d64978" /><Relationship Type="http://schemas.openxmlformats.org/officeDocument/2006/relationships/worksheet" Target="/xl/worksheets/sheet10.xml" Id="R1f4cd5ed3e204390" /><Relationship Type="http://schemas.openxmlformats.org/officeDocument/2006/relationships/worksheet" Target="/xl/worksheets/sheet11.xml" Id="R527501fdb55a4ab9" /><Relationship Type="http://schemas.openxmlformats.org/officeDocument/2006/relationships/worksheet" Target="/xl/worksheets/sheet12.xml" Id="R622ddae2902a4835" /><Relationship Type="http://schemas.openxmlformats.org/officeDocument/2006/relationships/worksheet" Target="/xl/worksheets/sheet13.xml" Id="Rce8614de31884be2" /><Relationship Type="http://schemas.openxmlformats.org/officeDocument/2006/relationships/worksheet" Target="/xl/worksheets/sheet14.xml" Id="R60a6e3ce84d14c6c" /><Relationship Type="http://schemas.openxmlformats.org/officeDocument/2006/relationships/worksheet" Target="/xl/worksheets/sheet15.xml" Id="R8a416b7115344e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7.78000020980835" hidden="0" customWidth="1"/>
    <x:col min="3" max="3" width="12.220000267028809" hidden="0" customWidth="1"/>
    <x:col min="4" max="4" width="11.109999656677246" hidden="0" customWidth="1"/>
    <x:col min="5" max="5" width="8.890000343322754" hidden="0" customWidth="1"/>
    <x:col min="6" max="6" width="33.33000183105469" hidden="0" customWidth="1"/>
    <x:col min="7" max="7" width="28.889999389648438" hidden="0" customWidth="1"/>
    <x:col min="8" max="8" width="33.33000183105469" hidden="0" customWidth="1"/>
    <x:col min="9" max="9" width="8.890000343322754" hidden="0" customWidth="1"/>
    <x:col min="10" max="10" width="20" hidden="0" customWidth="1"/>
  </x:cols>
  <x:sheetData>
    <x:row r="1" ht="33" customHeight="1">
      <x:c r="A1" s="39" t="str">
        <x:v>PDP 详情页诊断评分表 | 总览</x:v>
      </x:c>
      <x:c r="B1" s="39" t="str">
        <x:v>PDP 详情页诊断评分表 | 总览</x:v>
      </x:c>
      <x:c r="C1" s="39" t="str">
        <x:v>PDP 详情页诊断评分表 | 总览</x:v>
      </x:c>
      <x:c r="D1" s="39" t="str">
        <x:v>PDP 详情页诊断评分表 | 总览</x:v>
      </x:c>
      <x:c r="E1" s="39" t="str">
        <x:v>PDP 详情页诊断评分表 | 总览</x:v>
      </x:c>
      <x:c r="F1" s="39" t="str">
        <x:v>PDP 详情页诊断评分表 | 总览</x:v>
      </x:c>
      <x:c r="G1" s="39" t="str">
        <x:v>PDP 详情页诊断评分表 | 总览</x:v>
      </x:c>
      <x:c r="H1" s="39" t="str">
        <x:v>PDP 详情页诊断评分表 | 总览</x:v>
      </x:c>
      <x:c r="I1" s="39" t="str">
        <x:v>PDP 详情页诊断评分表 | 总览</x:v>
      </x:c>
      <x:c r="J1" s="39" t="str">
        <x:v>PDP 详情页诊断评分表 | 总览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1" t="str">
        <x:v>模块</x:v>
      </x:c>
      <x:c r="B3" s="41" t="str">
        <x:v>权重</x:v>
      </x:c>
      <x:c r="C3" s="41" t="str">
        <x:v>评分</x:v>
      </x:c>
      <x:c r="D3" s="41" t="str">
        <x:v>得分</x:v>
      </x:c>
      <x:c r="E3" s="41" t="str">
        <x:v>成熟度</x:v>
      </x:c>
      <x:c r="F3" s="41" t="str">
        <x:v>证据</x:v>
      </x:c>
      <x:c r="G3" s="41" t="str">
        <x:v>问题</x:v>
      </x:c>
      <x:c r="H3" s="41" t="str">
        <x:v>建议</x:v>
      </x:c>
      <x:c r="I3" s="41" t="str">
        <x:v>优先级</x:v>
      </x:c>
      <x:c r="J3" s="41" t="str">
        <x:v>备注</x:v>
      </x:c>
    </x:row>
    <x:row r="4" ht="48" customHeight="1">
      <x:c r="A4" s="33" t="str">
        <x:v>产品KV/封面故事</x:v>
      </x:c>
      <x:c r="B4" s="33" t="n">
        <x:v>10</x:v>
      </x:c>
      <x:c r="C4" s="33" t="str"/>
      <x:c r="D4" s="33" t="n">
        <x:f>B4*C4</x:f>
        <x:v>0</x:v>
      </x:c>
      <x:c r="E4" s="33" t="str">
        <x:f>IF(C4&gt;=0.85,"强",IF(C4&gt;=0.5,"中","弱"))</x:f>
        <x:v>弱</x:v>
      </x:c>
      <x:c r="F4" s="33" t="str">
        <x:v>产品名/系列名/核心卖点/KV</x:v>
      </x:c>
      <x:c r="G4" s="33" t="str"/>
      <x:c r="H4" s="33" t="str"/>
      <x:c r="I4" s="33" t="str">
        <x:v>中</x:v>
      </x:c>
      <x:c r="J4" s="33" t="str"/>
    </x:row>
    <x:row r="5" ht="48" customHeight="1">
      <x:c r="A5" s="34" t="str">
        <x:v>沉浸式购物/场景化</x:v>
      </x:c>
      <x:c r="B5" s="34" t="n">
        <x:v>18</x:v>
      </x:c>
      <x:c r="C5" s="34" t="str"/>
      <x:c r="D5" s="34" t="n">
        <x:f>B5*C5</x:f>
        <x:v>0</x:v>
      </x:c>
      <x:c r="E5" s="34" t="str">
        <x:f>IF(C5&gt;=0.85,"强",IF(C5&gt;=0.5,"中","弱"))</x:f>
        <x:v>弱</x:v>
      </x:c>
      <x:c r="F5" s="34" t="str">
        <x:v>模特/穿搭/使用场景</x:v>
      </x:c>
      <x:c r="G5" s="34" t="str"/>
      <x:c r="H5" s="34" t="str"/>
      <x:c r="I5" s="34" t="str">
        <x:v>高</x:v>
      </x:c>
      <x:c r="J5" s="34" t="str"/>
    </x:row>
    <x:row r="6" ht="48" customHeight="1">
      <x:c r="A6" s="33" t="str">
        <x:v>卖点与功能证明</x:v>
      </x:c>
      <x:c r="B6" s="33" t="n">
        <x:v>14</x:v>
      </x:c>
      <x:c r="C6" s="33" t="str"/>
      <x:c r="D6" s="33" t="n">
        <x:f>B6*C6</x:f>
        <x:v>0</x:v>
      </x:c>
      <x:c r="E6" s="33" t="str">
        <x:f>IF(C6&gt;=0.85,"强",IF(C6&gt;=0.5,"中","弱"))</x:f>
        <x:v>弱</x:v>
      </x:c>
      <x:c r="F6" s="33" t="str">
        <x:v>功能/科技/材料证据</x:v>
      </x:c>
      <x:c r="G6" s="33" t="str"/>
      <x:c r="H6" s="33" t="str"/>
      <x:c r="I6" s="33" t="str">
        <x:v>高</x:v>
      </x:c>
      <x:c r="J6" s="33" t="str"/>
    </x:row>
    <x:row r="7" ht="48" customHeight="1">
      <x:c r="A7" s="34" t="str">
        <x:v>产品互动/动态内容</x:v>
      </x:c>
      <x:c r="B7" s="34" t="n">
        <x:v>8</x:v>
      </x:c>
      <x:c r="C7" s="34" t="str"/>
      <x:c r="D7" s="34" t="n">
        <x:f>B7*C7</x:f>
        <x:v>0</x:v>
      </x:c>
      <x:c r="E7" s="34" t="str">
        <x:f>IF(C7&gt;=0.85,"强",IF(C7&gt;=0.5,"中","弱"))</x:f>
        <x:v>弱</x:v>
      </x:c>
      <x:c r="F7" s="34" t="str">
        <x:v>视频/AR/3D</x:v>
      </x:c>
      <x:c r="G7" s="34" t="str"/>
      <x:c r="H7" s="34" t="str"/>
      <x:c r="I7" s="34" t="str">
        <x:v>低</x:v>
      </x:c>
      <x:c r="J7" s="34" t="str"/>
    </x:row>
    <x:row r="8" ht="48" customHeight="1">
      <x:c r="A8" s="33" t="str">
        <x:v>细节查阅</x:v>
      </x:c>
      <x:c r="B8" s="33" t="n">
        <x:v>12</x:v>
      </x:c>
      <x:c r="C8" s="33" t="str"/>
      <x:c r="D8" s="33" t="n">
        <x:f>B8*C8</x:f>
        <x:v>0</x:v>
      </x:c>
      <x:c r="E8" s="33" t="str">
        <x:f>IF(C8&gt;=0.85,"强",IF(C8&gt;=0.5,"中","弱"))</x:f>
        <x:v>弱</x:v>
      </x:c>
      <x:c r="F8" s="33" t="str">
        <x:v>细节/颜色/角度/参数</x:v>
      </x:c>
      <x:c r="G8" s="33" t="str"/>
      <x:c r="H8" s="33" t="str"/>
      <x:c r="I8" s="33" t="str">
        <x:v>高</x:v>
      </x:c>
      <x:c r="J8" s="33" t="str"/>
    </x:row>
    <x:row r="9" ht="48" customHeight="1">
      <x:c r="A9" s="34" t="str">
        <x:v>尺码/适配与对比选购</x:v>
      </x:c>
      <x:c r="B9" s="34" t="n">
        <x:v>10</x:v>
      </x:c>
      <x:c r="C9" s="34" t="str"/>
      <x:c r="D9" s="34" t="n">
        <x:f>B9*C9</x:f>
        <x:v>0</x:v>
      </x:c>
      <x:c r="E9" s="34" t="str">
        <x:f>IF(C9&gt;=0.85,"强",IF(C9&gt;=0.5,"中","弱"))</x:f>
        <x:v>弱</x:v>
      </x:c>
      <x:c r="F9" s="34" t="str">
        <x:v>测量/版型/消费者反馈/对比</x:v>
      </x:c>
      <x:c r="G9" s="34" t="str"/>
      <x:c r="H9" s="34" t="str"/>
      <x:c r="I9" s="34" t="str">
        <x:v>高</x:v>
      </x:c>
      <x:c r="J9" s="34" t="str"/>
    </x:row>
    <x:row r="10" ht="48" customHeight="1">
      <x:c r="A10" s="33" t="str">
        <x:v>基础信息</x:v>
      </x:c>
      <x:c r="B10" s="33" t="n">
        <x:v>8</x:v>
      </x:c>
      <x:c r="C10" s="33" t="str"/>
      <x:c r="D10" s="33" t="n">
        <x:f>B10*C10</x:f>
        <x:v>0</x:v>
      </x:c>
      <x:c r="E10" s="33" t="str">
        <x:f>IF(C10&gt;=0.85,"强",IF(C10&gt;=0.5,"中","弱"))</x:f>
        <x:v>弱</x:v>
      </x:c>
      <x:c r="F10" s="33" t="str">
        <x:v>面料/材质/成分/颜色</x:v>
      </x:c>
      <x:c r="G10" s="33" t="str"/>
      <x:c r="H10" s="33" t="str"/>
      <x:c r="I10" s="33" t="str">
        <x:v>中</x:v>
      </x:c>
      <x:c r="J10" s="33" t="str"/>
    </x:row>
    <x:row r="11" ht="48" customHeight="1">
      <x:c r="A11" s="34" t="str">
        <x:v>使用说明/服务事项</x:v>
      </x:c>
      <x:c r="B11" s="34" t="n">
        <x:v>5</x:v>
      </x:c>
      <x:c r="C11" s="34" t="str"/>
      <x:c r="D11" s="34" t="n">
        <x:f>B11*C11</x:f>
        <x:v>0</x:v>
      </x:c>
      <x:c r="E11" s="34" t="str">
        <x:f>IF(C11&gt;=0.85,"强",IF(C11&gt;=0.5,"中","弱"))</x:f>
        <x:v>弱</x:v>
      </x:c>
      <x:c r="F11" s="34" t="str">
        <x:v>护理/退换/售后</x:v>
      </x:c>
      <x:c r="G11" s="34" t="str"/>
      <x:c r="H11" s="34" t="str"/>
      <x:c r="I11" s="34" t="str">
        <x:v>中</x:v>
      </x:c>
      <x:c r="J11" s="34" t="str"/>
    </x:row>
    <x:row r="12" ht="48" customHeight="1">
      <x:c r="A12" s="33" t="str">
        <x:v>关联推荐/延展购买</x:v>
      </x:c>
      <x:c r="B12" s="33" t="n">
        <x:v>5</x:v>
      </x:c>
      <x:c r="C12" s="33" t="str"/>
      <x:c r="D12" s="33" t="n">
        <x:f>B12*C12</x:f>
        <x:v>0</x:v>
      </x:c>
      <x:c r="E12" s="33" t="str">
        <x:f>IF(C12&gt;=0.85,"强",IF(C12&gt;=0.5,"中","弱"))</x:f>
        <x:v>弱</x:v>
      </x:c>
      <x:c r="F12" s="33" t="str">
        <x:v>系列/场景/搭配推荐</x:v>
      </x:c>
      <x:c r="G12" s="33" t="str"/>
      <x:c r="H12" s="33" t="str"/>
      <x:c r="I12" s="33" t="str">
        <x:v>低</x:v>
      </x:c>
      <x:c r="J12" s="33" t="str"/>
    </x:row>
    <x:row r="13" ht="48" customHeight="1">
      <x:c r="A13" s="34" t="str">
        <x:v>品牌/产品背书</x:v>
      </x:c>
      <x:c r="B13" s="34" t="n">
        <x:v>5</x:v>
      </x:c>
      <x:c r="C13" s="34" t="str"/>
      <x:c r="D13" s="34" t="n">
        <x:f>B13*C13</x:f>
        <x:v>0</x:v>
      </x:c>
      <x:c r="E13" s="34" t="str">
        <x:f>IF(C13&gt;=0.85,"强",IF(C13&gt;=0.5,"中","弱"))</x:f>
        <x:v>弱</x:v>
      </x:c>
      <x:c r="F13" s="34" t="str">
        <x:v>认证/奖项/品牌资产</x:v>
      </x:c>
      <x:c r="G13" s="34" t="str"/>
      <x:c r="H13" s="34" t="str"/>
      <x:c r="I13" s="34" t="str">
        <x:v>中</x:v>
      </x:c>
      <x:c r="J13" s="34" t="str"/>
    </x:row>
    <x:row r="14" ht="48" customHeight="1">
      <x:c r="A14" s="33" t="str">
        <x:v>页面结构与节奏</x:v>
      </x:c>
      <x:c r="B14" s="33" t="n">
        <x:v>5</x:v>
      </x:c>
      <x:c r="C14" s="33" t="str"/>
      <x:c r="D14" s="33" t="n">
        <x:f>B14*C14</x:f>
        <x:v>0</x:v>
      </x:c>
      <x:c r="E14" s="33" t="str">
        <x:f>IF(C14&gt;=0.85,"强",IF(C14&gt;=0.5,"中","弱"))</x:f>
        <x:v>弱</x:v>
      </x:c>
      <x:c r="F14" s="33" t="str">
        <x:v>模块顺序/占屏/信息密度/首尾闭环</x:v>
      </x:c>
      <x:c r="G14" s="33" t="str"/>
      <x:c r="H14" s="33" t="str"/>
      <x:c r="I14" s="33" t="str">
        <x:v>高</x:v>
      </x:c>
      <x:c r="J14" s="33" t="str"/>
    </x:row>
    <x:row r="15">
      <x:c r="A15" s="35" t="str">
        <x:v>总分</x:v>
      </x:c>
      <x:c r="B15" s="35" t="n">
        <x:f>SUM(D4:D14)</x:f>
        <x:v>0</x:v>
      </x:c>
      <x:c r="C15" s="35" t="str">
        <x:v>满分</x:v>
      </x:c>
      <x:c r="D15" s="35" t="n">
        <x:f>SUM(B4:B14)</x:f>
        <x:v>100</x:v>
      </x:c>
      <x:c r="E15" s="40"/>
      <x:c r="F15" s="40"/>
      <x:c r="G15" s="40"/>
      <x:c r="H15" s="40"/>
      <x:c r="I15" s="40"/>
      <x:c r="J15" s="40"/>
    </x:row>
    <x:row r="16">
      <x:c r="A16" s="35" t="str">
        <x:v>总分率</x:v>
      </x:c>
      <x:c r="B16" s="35" t="n">
        <x:f>B15/D15</x:f>
        <x:v>0</x:v>
      </x:c>
      <x:c r="C16" s="35" t="str">
        <x:v>自动星级</x:v>
      </x:c>
      <x:c r="D16" s="35" t="str">
        <x:f>LOOKUP(B16,{0,0.2,0.35,0.5,0.65,0.8,0.9},{"1星","2星","3星","4星","5星","6星","7星"})</x:f>
        <x:v>1星</x:v>
      </x:c>
      <x:c r="E16" s="40"/>
      <x:c r="F16" s="40"/>
      <x:c r="G16" s="40"/>
      <x:c r="H16" s="40"/>
      <x:c r="I16" s="40"/>
      <x:c r="J16" s="40"/>
    </x:row>
    <x:row r="17">
      <x:c r="A17" s="35" t="str">
        <x:v>页面类型判断</x:v>
      </x:c>
      <x:c r="B17" s="35" t="str">
        <x:f>LOOKUP(B16,{0,0.35,0.65,0.8},{"基础信息型","基础增强型","进阶场景型","高阶故事型"})</x:f>
        <x:v>基础信息型</x:v>
      </x:c>
      <x:c r="C17" s="35" t="str">
        <x:v>建议动作</x:v>
      </x:c>
      <x:c r="D17" s="35" t="str">
        <x:f>LOOKUP(B16,{0,0.35,0.65,0.8},{"补齐基础模块","强化卖点/细节/尺码","补场景与动态素材","建立模块化与自动化复用"})</x:f>
        <x:v>补齐基础模块</x:v>
      </x:c>
      <x:c r="E17" s="40"/>
      <x:c r="F17" s="40"/>
      <x:c r="G17" s="40"/>
      <x:c r="H17" s="40"/>
      <x:c r="I17" s="40"/>
      <x:c r="J17" s="40"/>
    </x:row>
    <x:row r="18">
      <x:c r="A18" s="35" t="str">
        <x:v>优先处理</x:v>
      </x:c>
      <x:c r="B18" s="35" t="str">
        <x:v>沉浸式购物 / 卖点证明 / 尺码适配 / 页面结构</x:v>
      </x:c>
      <x:c r="C18" s="35" t="str">
        <x:v>验证周期</x:v>
      </x:c>
      <x:c r="D18" s="35" t="str">
        <x:v>2-3周 A/B 测试</x:v>
      </x:c>
      <x:c r="E18" s="40"/>
      <x:c r="F18" s="40"/>
      <x:c r="G18" s="40"/>
      <x:c r="H18" s="40"/>
      <x:c r="I18" s="40"/>
      <x:c r="J18" s="40"/>
    </x:row>
    <x:row r="19">
      <x:c r="A19" s="35" t="str">
        <x:v>主指标</x:v>
      </x:c>
      <x:c r="B19" s="35" t="str">
        <x:v>支付转化率、加购率、停留时长</x:v>
      </x:c>
      <x:c r="C19" s="35" t="str">
        <x:v>次指标</x:v>
      </x:c>
      <x:c r="D19" s="35" t="str">
        <x:v>收藏、咨询、退款/尺码退货、模块点击</x:v>
      </x:c>
      <x:c r="E19" s="40"/>
      <x:c r="F19" s="40"/>
      <x:c r="G19" s="40"/>
      <x:c r="H19" s="40"/>
      <x:c r="I19" s="40"/>
      <x:c r="J19" s="40"/>
    </x:row>
    <x:row r="20">
      <x:c r="A20" s="35" t="str">
        <x:v>评分口径</x:v>
      </x:c>
      <x:c r="B20" s="35" t="str">
        <x:v>0=缺失；0.5=有但弱；1=完整且有效</x:v>
      </x:c>
      <x:c r="C20" s="35" t="str">
        <x:v>注意</x:v>
      </x:c>
      <x:c r="D20" s="35" t="str">
        <x:v>丰富度不是页面变长，而是决策信息密度提高</x:v>
      </x:c>
      <x:c r="E20" s="40"/>
      <x:c r="F20" s="40"/>
      <x:c r="G20" s="40"/>
      <x:c r="H20" s="40"/>
      <x:c r="I20" s="40"/>
      <x:c r="J20" s="40"/>
    </x:row>
    <x:row r="21">
      <x:c r="A21" s="35" t="str">
        <x:v>来源</x:v>
      </x:c>
      <x:c r="B21" s="35" t="str">
        <x:v>Excel分值问题 + NIKE PDP设计调研/报告方法论 + 3-4月走查参考</x:v>
      </x:c>
      <x:c r="C21" s="35" t="str">
        <x:v>版本</x:v>
      </x:c>
      <x:c r="D21" s="35" t="str">
        <x:v>v3</x:v>
      </x:c>
      <x:c r="E21" s="40"/>
      <x:c r="F21" s="40"/>
      <x:c r="G21" s="40"/>
      <x:c r="H21" s="40"/>
      <x:c r="I21" s="40"/>
      <x:c r="J21" s="40"/>
    </x:row>
  </x:sheetData>
  <x:mergeCells>
    <x:mergeCell ref="A1:J1"/>
  </x:mergeCells>
  <x:dataValidations count="1">
    <x:dataValidation allowBlank="1" sqref="C4:C14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7.78000020980835" hidden="0" customWidth="1"/>
    <x:col min="3" max="3" width="31.110000610351562" hidden="0" customWidth="1"/>
    <x:col min="4" max="4" width="31.110000610351562" hidden="0" customWidth="1"/>
    <x:col min="5" max="5" width="33.33000183105469" hidden="0" customWidth="1"/>
    <x:col min="6" max="6" width="23.329999923706055" hidden="0" customWidth="1"/>
    <x:col min="7" max="7" width="28.889999389648438" hidden="0" customWidth="1"/>
    <x:col min="8" max="8" width="13.329999923706055" hidden="0" customWidth="1"/>
  </x:cols>
  <x:sheetData>
    <x:row r="1" ht="33" customHeight="1">
      <x:c r="A1" s="39" t="str">
        <x:v>评分细则 | 11大模块 × 0/0.5/1</x:v>
      </x:c>
      <x:c r="B1" s="39" t="str">
        <x:v>评分细则 | 11大模块 × 0/0.5/1</x:v>
      </x:c>
      <x:c r="C1" s="39" t="str">
        <x:v>评分细则 | 11大模块 × 0/0.5/1</x:v>
      </x:c>
      <x:c r="D1" s="39" t="str">
        <x:v>评分细则 | 11大模块 × 0/0.5/1</x:v>
      </x:c>
      <x:c r="E1" s="39" t="str">
        <x:v>评分细则 | 11大模块 × 0/0.5/1</x:v>
      </x:c>
      <x:c r="F1" s="39" t="str">
        <x:v>评分细则 | 11大模块 × 0/0.5/1</x:v>
      </x:c>
      <x:c r="G1" s="39" t="str">
        <x:v>评分细则 | 11大模块 × 0/0.5/1</x:v>
      </x:c>
      <x:c r="H1" s="39" t="str">
        <x:v>评分细则 | 11大模块 × 0/0.5/1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模块</x:v>
      </x:c>
      <x:c r="B3" s="41" t="str">
        <x:v>权重</x:v>
      </x:c>
      <x:c r="C3" s="41" t="str">
        <x:v>0分：缺失/无效</x:v>
      </x:c>
      <x:c r="D3" s="41" t="str">
        <x:v>0.5分：存在但较弱</x:v>
      </x:c>
      <x:c r="E3" s="41" t="str">
        <x:v>1分：完整有效</x:v>
      </x:c>
      <x:c r="F3" s="41" t="str">
        <x:v>证据示例</x:v>
      </x:c>
      <x:c r="G3" s="41" t="str">
        <x:v>典型优化动作</x:v>
      </x:c>
      <x:c r="H3" s="41" t="str">
        <x:v>对应素材优先级</x:v>
      </x:c>
    </x:row>
    <x:row r="4" ht="55.5" customHeight="1">
      <x:c r="A4" s="33" t="str">
        <x:v>产品KV/封面故事</x:v>
      </x:c>
      <x:c r="B4" s="33" t="n">
        <x:v>10</x:v>
      </x:c>
      <x:c r="C4" s="33" t="str">
        <x:v>无封面故事，只是商品陈列</x:v>
      </x:c>
      <x:c r="D4" s="33" t="str">
        <x:v>有海报但缺少产品名、系列名、核心卖点或品牌识别</x:v>
      </x:c>
      <x:c r="E4" s="33" t="str">
        <x:v>0.5-1屏内讲清产品主张、系列定位、核心卖点和主视觉</x:v>
      </x:c>
      <x:c r="F4" s="33" t="str">
        <x:v>KV、产品海报、系列主视觉、品牌logo</x:v>
      </x:c>
      <x:c r="G4" s="33" t="str">
        <x:v>建立一句话主张与首屏封面故事</x:v>
      </x:c>
      <x:c r="H4" s="33" t="str">
        <x:v>E/F</x:v>
      </x:c>
    </x:row>
    <x:row r="5" ht="55.5" customHeight="1">
      <x:c r="A5" s="34" t="str">
        <x:v>沉浸式购物/场景化</x:v>
      </x:c>
      <x:c r="B5" s="34" t="n">
        <x:v>18</x:v>
      </x:c>
      <x:c r="C5" s="34" t="str">
        <x:v>无场景，用户无法想象使用</x:v>
      </x:c>
      <x:c r="D5" s="34" t="str">
        <x:v>有场景但单一、摆拍、弱关联</x:v>
      </x:c>
      <x:c r="E5" s="34" t="str">
        <x:v>场景覆盖真实使用、穿搭、运动状态和情绪代入</x:v>
      </x:c>
      <x:c r="F5" s="34" t="str">
        <x:v>模特全身、多人、多场景、运动轨迹</x:v>
      </x:c>
      <x:c r="G5" s="34" t="str">
        <x:v>补模特场景图、穿搭图、运动/生活场景</x:v>
      </x:c>
      <x:c r="H5" s="34" t="str">
        <x:v>S/B</x:v>
      </x:c>
    </x:row>
    <x:row r="6" ht="55.5" customHeight="1">
      <x:c r="A6" s="33" t="str">
        <x:v>卖点与功能证明</x:v>
      </x:c>
      <x:c r="B6" s="33" t="n">
        <x:v>14</x:v>
      </x:c>
      <x:c r="C6" s="33" t="str">
        <x:v>卖点不清或只堆参数</x:v>
      </x:c>
      <x:c r="D6" s="33" t="str">
        <x:v>有卖点但缺图解/证据/顺序</x:v>
      </x:c>
      <x:c r="E6" s="33" t="str">
        <x:v>核心卖点层级清楚，有技术、材料、对比或使用证据</x:v>
      </x:c>
      <x:c r="F6" s="33" t="str">
        <x:v>功能图、科技图、参数对比</x:v>
      </x:c>
      <x:c r="G6" s="33" t="str">
        <x:v>重排卖点优先级，补证据图</x:v>
      </x:c>
      <x:c r="H6" s="33" t="str">
        <x:v>C/F</x:v>
      </x:c>
    </x:row>
    <x:row r="7" ht="55.5" customHeight="1">
      <x:c r="A7" s="34" t="str">
        <x:v>产品互动/动态内容</x:v>
      </x:c>
      <x:c r="B7" s="34" t="n">
        <x:v>8</x:v>
      </x:c>
      <x:c r="C7" s="34" t="str">
        <x:v>无视频、无互动、无动态说明</x:v>
      </x:c>
      <x:c r="D7" s="34" t="str">
        <x:v>有视频/互动但与卖点弱关联</x:v>
      </x:c>
      <x:c r="E7" s="34" t="str">
        <x:v>视频/AR/3D/交互直接解释功能或试穿效果</x:v>
      </x:c>
      <x:c r="F7" s="34" t="str">
        <x:v>视频播放、AR试穿、结构动效</x:v>
      </x:c>
      <x:c r="G7" s="34" t="str">
        <x:v>补产品讲解视频、AR试穿、动效拆解</x:v>
      </x:c>
      <x:c r="H7" s="34" t="str">
        <x:v>B/C</x:v>
      </x:c>
    </x:row>
    <x:row r="8" ht="55.5" customHeight="1">
      <x:c r="A8" s="33" t="str">
        <x:v>细节查阅</x:v>
      </x:c>
      <x:c r="B8" s="33" t="n">
        <x:v>12</x:v>
      </x:c>
      <x:c r="C8" s="33" t="str">
        <x:v>缺少细节、颜色、角度信息</x:v>
      </x:c>
      <x:c r="D8" s="33" t="str">
        <x:v>有基础图但角度不足或不利比较</x:v>
      </x:c>
      <x:c r="E8" s="33" t="str">
        <x:v>多角度、细节、颜色、材质、视图完整</x:v>
      </x:c>
      <x:c r="F8" s="33" t="str">
        <x:v>鞋底、鞋面、材质、配件、多色</x:v>
      </x:c>
      <x:c r="G8" s="33" t="str">
        <x:v>补多角度、关键细节、颜色矩阵</x:v>
      </x:c>
      <x:c r="H8" s="33" t="str">
        <x:v>A/B</x:v>
      </x:c>
    </x:row>
    <x:row r="9" ht="55.5" customHeight="1">
      <x:c r="A9" s="34" t="str">
        <x:v>尺码/适配与对比选购</x:v>
      </x:c>
      <x:c r="B9" s="34" t="n">
        <x:v>10</x:v>
      </x:c>
      <x:c r="C9" s="34" t="str">
        <x:v>只有尺码表，难以判断适合自己</x:v>
      </x:c>
      <x:c r="D9" s="34" t="str">
        <x:v>有尺码建议或对比信息，但不够场景化</x:v>
      </x:c>
      <x:c r="E9" s="34" t="str">
        <x:v>测量方式、脚型/身型、版型、消费者荐言、系列对比完整</x:v>
      </x:c>
      <x:c r="F9" s="34" t="str">
        <x:v>测量指南、脚型建议、尺码评价、对比表</x:v>
      </x:c>
      <x:c r="G9" s="34" t="str">
        <x:v>补测量方法、选码建议、评价摘要、对比选购</x:v>
      </x:c>
      <x:c r="H9" s="34" t="str">
        <x:v>基础/数据</x:v>
      </x:c>
    </x:row>
    <x:row r="10" ht="55.5" customHeight="1">
      <x:c r="A10" s="33" t="str">
        <x:v>基础信息</x:v>
      </x:c>
      <x:c r="B10" s="33" t="n">
        <x:v>8</x:v>
      </x:c>
      <x:c r="C10" s="33" t="str">
        <x:v>材质/成分/颜色/护理缺失</x:v>
      </x:c>
      <x:c r="D10" s="33" t="str">
        <x:v>信息存在但大段文本、难扫描</x:v>
      </x:c>
      <x:c r="E10" s="33" t="str">
        <x:v>信息结构化、可比较、可快速查阅</x:v>
      </x:c>
      <x:c r="F10" s="33" t="str">
        <x:v>面料、成分、颜色、视图、细节</x:v>
      </x:c>
      <x:c r="G10" s="33" t="str">
        <x:v>图文化基础信息，减少文本堆叠</x:v>
      </x:c>
      <x:c r="H10" s="33" t="str">
        <x:v>A</x:v>
      </x:c>
    </x:row>
    <x:row r="11" ht="55.5" customHeight="1">
      <x:c r="A11" s="34" t="str">
        <x:v>使用说明/服务事项</x:v>
      </x:c>
      <x:c r="B11" s="34" t="n">
        <x:v>5</x:v>
      </x:c>
      <x:c r="C11" s="34" t="str">
        <x:v>服务、护理、退换说明缺失</x:v>
      </x:c>
      <x:c r="D11" s="34" t="str">
        <x:v>有说明但位置靠后或不可读</x:v>
      </x:c>
      <x:c r="E11" s="34" t="str">
        <x:v>服务、护理、售后、退换能降低购买顾虑</x:v>
      </x:c>
      <x:c r="F11" s="34" t="str">
        <x:v>服务承诺、护理说明、保养指南</x:v>
      </x:c>
      <x:c r="G11" s="34" t="str">
        <x:v>补服务模块与高频问题</x:v>
      </x:c>
      <x:c r="H11" s="34" t="str">
        <x:v>基础</x:v>
      </x:c>
    </x:row>
    <x:row r="12" ht="55.5" customHeight="1">
      <x:c r="A12" s="33" t="str">
        <x:v>关联推荐/延展购买</x:v>
      </x:c>
      <x:c r="B12" s="33" t="n">
        <x:v>5</x:v>
      </x:c>
      <x:c r="C12" s="33" t="str">
        <x:v>无搭配/系列/场景推荐</x:v>
      </x:c>
      <x:c r="D12" s="33" t="str">
        <x:v>有推荐但逻辑弱或仅商品堆叠</x:v>
      </x:c>
      <x:c r="E12" s="33" t="str">
        <x:v>推荐基于系列、场景、穿搭、用户意图</x:v>
      </x:c>
      <x:c r="F12" s="33" t="str">
        <x:v>系列推荐、穿搭推荐、同场景商品</x:v>
      </x:c>
      <x:c r="G12" s="33" t="str">
        <x:v>补系列/搭配/场景推荐规则</x:v>
      </x:c>
      <x:c r="H12" s="33" t="str">
        <x:v>D</x:v>
      </x:c>
    </x:row>
    <x:row r="13" ht="55.5" customHeight="1">
      <x:c r="A13" s="34" t="str">
        <x:v>品牌/产品背书</x:v>
      </x:c>
      <x:c r="B13" s="34" t="n">
        <x:v>5</x:v>
      </x:c>
      <x:c r="C13" s="34" t="str">
        <x:v>缺信任证据与品牌资产</x:v>
      </x:c>
      <x:c r="D13" s="34" t="str">
        <x:v>有品牌话术但缺具体证据</x:v>
      </x:c>
      <x:c r="E13" s="34" t="str">
        <x:v>有机构、运动员、奖项、科技认证、品牌历史</x:v>
      </x:c>
      <x:c r="F13" s="34" t="str">
        <x:v>科技认证、赛事、奖项、代言/队伍</x:v>
      </x:c>
      <x:c r="G13" s="34" t="str">
        <x:v>补可信证据，避免空泛品牌口号</x:v>
      </x:c>
      <x:c r="H13" s="34" t="str">
        <x:v>F</x:v>
      </x:c>
    </x:row>
    <x:row r="14" ht="55.5" customHeight="1">
      <x:c r="A14" s="33" t="str">
        <x:v>页面结构与节奏</x:v>
      </x:c>
      <x:c r="B14" s="33" t="n">
        <x:v>5</x:v>
      </x:c>
      <x:c r="C14" s="33" t="str">
        <x:v>模块顺序混乱、信息断层、长但无决策推进</x:v>
      </x:c>
      <x:c r="D14" s="33" t="str">
        <x:v>模块基本齐全但占屏失衡、前后重复、缺转场</x:v>
      </x:c>
      <x:c r="E14" s="33" t="str">
        <x:v>封面-沉浸-卖点-细节-信息-服务-推荐-背书形成购买叙事</x:v>
      </x:c>
      <x:c r="F14" s="33" t="str">
        <x:v>模块顺序、占屏、锚点、节奏图</x:v>
      </x:c>
      <x:c r="G14" s="33" t="str">
        <x:v>按页面结构模板重排模块和占屏</x:v>
      </x:c>
      <x:c r="H14" s="33" t="str">
        <x:v>结构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33.33000183105469" hidden="0" customWidth="1"/>
    <x:col min="4" max="4" width="7.78000020980835" hidden="0" customWidth="1"/>
    <x:col min="5" max="5" width="10" hidden="0" customWidth="1"/>
    <x:col min="6" max="6" width="10.5600004196167" hidden="0" customWidth="1"/>
    <x:col min="7" max="7" width="27.780000686645508" hidden="0" customWidth="1"/>
    <x:col min="8" max="8" width="27.780000686645508" hidden="0" customWidth="1"/>
    <x:col min="9" max="9" width="28.889999389648438" hidden="0" customWidth="1"/>
  </x:cols>
  <x:sheetData>
    <x:row r="1" ht="33" customHeight="1">
      <x:c r="A1" s="39" t="str">
        <x:v>头图/图集评分 | 负责停下、看懂、产生点击欲望</x:v>
      </x:c>
      <x:c r="B1" s="39" t="str">
        <x:v>头图/图集评分 | 负责停下、看懂、产生点击欲望</x:v>
      </x:c>
      <x:c r="C1" s="39" t="str">
        <x:v>头图/图集评分 | 负责停下、看懂、产生点击欲望</x:v>
      </x:c>
      <x:c r="D1" s="39" t="str">
        <x:v>头图/图集评分 | 负责停下、看懂、产生点击欲望</x:v>
      </x:c>
      <x:c r="E1" s="39" t="str">
        <x:v>头图/图集评分 | 负责停下、看懂、产生点击欲望</x:v>
      </x:c>
      <x:c r="F1" s="39" t="str">
        <x:v>头图/图集评分 | 负责停下、看懂、产生点击欲望</x:v>
      </x:c>
      <x:c r="G1" s="39" t="str">
        <x:v>头图/图集评分 | 负责停下、看懂、产生点击欲望</x:v>
      </x:c>
      <x:c r="H1" s="39" t="str">
        <x:v>头图/图集评分 | 负责停下、看懂、产生点击欲望</x:v>
      </x:c>
      <x:c r="I1" s="39" t="str">
        <x:v>头图/图集评分 | 负责停下、看懂、产生点击欲望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</x:row>
    <x:row r="3">
      <x:c r="A3" s="41" t="str">
        <x:v>评分项</x:v>
      </x:c>
      <x:c r="B3" s="41" t="str">
        <x:v>所属模块</x:v>
      </x:c>
      <x:c r="C3" s="41" t="str">
        <x:v>判断标准</x:v>
      </x:c>
      <x:c r="D3" s="41" t="str">
        <x:v>权重</x:v>
      </x:c>
      <x:c r="E3" s="41" t="str">
        <x:v>评分</x:v>
      </x:c>
      <x:c r="F3" s="41" t="str">
        <x:v>加权得分</x:v>
      </x:c>
      <x:c r="G3" s="41" t="str">
        <x:v>证据/截图位置</x:v>
      </x:c>
      <x:c r="H3" s="41" t="str">
        <x:v>问题记录</x:v>
      </x:c>
      <x:c r="I3" s="41" t="str">
        <x:v>优化方向</x:v>
      </x:c>
    </x:row>
    <x:row r="4" ht="48" customHeight="1">
      <x:c r="A4" s="33" t="str">
        <x:v>产品KV</x:v>
      </x:c>
      <x:c r="B4" s="33" t="str">
        <x:v>产品KV/故事</x:v>
      </x:c>
      <x:c r="C4" s="33" t="str">
        <x:v>首屏是否有产品主张、识别度和记忆点</x:v>
      </x:c>
      <x:c r="D4" s="33" t="n">
        <x:v>8</x:v>
      </x:c>
      <x:c r="E4" s="33" t="str"/>
      <x:c r="F4" s="33" t="n">
        <x:f>D4*E4</x:f>
        <x:v>0</x:v>
      </x:c>
      <x:c r="G4" s="33" t="str"/>
      <x:c r="H4" s="33" t="str"/>
      <x:c r="I4" s="33" t="str">
        <x:v>提炼产品一句话主张，强化主视觉</x:v>
      </x:c>
    </x:row>
    <x:row r="5" ht="48" customHeight="1">
      <x:c r="A5" s="34" t="str">
        <x:v>产品卖点排版</x:v>
      </x:c>
      <x:c r="B5" s="34" t="str">
        <x:v>卖点与功能证明</x:v>
      </x:c>
      <x:c r="C5" s="34" t="str">
        <x:v>是否在图集内用视觉化方式讲清核心卖点</x:v>
      </x:c>
      <x:c r="D5" s="34" t="n">
        <x:v>10</x:v>
      </x:c>
      <x:c r="E5" s="34" t="str"/>
      <x:c r="F5" s="34" t="n">
        <x:f>D5*E5</x:f>
        <x:v>0</x:v>
      </x:c>
      <x:c r="G5" s="34" t="str"/>
      <x:c r="H5" s="34" t="str"/>
      <x:c r="I5" s="34" t="str">
        <x:v>把功能、材料、科技变成可扫读图文</x:v>
      </x:c>
    </x:row>
    <x:row r="6" ht="48" customHeight="1">
      <x:c r="A6" s="33" t="str">
        <x:v>场景化呈现</x:v>
      </x:c>
      <x:c r="B6" s="33" t="str">
        <x:v>沉浸式购物/场景化</x:v>
      </x:c>
      <x:c r="C6" s="33" t="str">
        <x:v>是否有真实使用/穿搭/运动场景</x:v>
      </x:c>
      <x:c r="D6" s="33" t="n">
        <x:v>16</x:v>
      </x:c>
      <x:c r="E6" s="33" t="str"/>
      <x:c r="F6" s="33" t="n">
        <x:f>D6*E6</x:f>
        <x:v>0</x:v>
      </x:c>
      <x:c r="G6" s="33" t="str"/>
      <x:c r="H6" s="33" t="str"/>
      <x:c r="I6" s="33" t="str">
        <x:v>补模特全身、运动状态、生活场景</x:v>
      </x:c>
    </x:row>
    <x:row r="7" ht="48" customHeight="1">
      <x:c r="A7" s="34" t="str">
        <x:v>全身图应用</x:v>
      </x:c>
      <x:c r="B7" s="34" t="str">
        <x:v>沉浸式购物/场景化</x:v>
      </x:c>
      <x:c r="C7" s="34" t="str">
        <x:v>是否有完整穿搭与身材比例参考</x:v>
      </x:c>
      <x:c r="D7" s="34" t="n">
        <x:v>8</x:v>
      </x:c>
      <x:c r="E7" s="34" t="str"/>
      <x:c r="F7" s="34" t="n">
        <x:f>D7*E7</x:f>
        <x:v>0</x:v>
      </x:c>
      <x:c r="G7" s="34" t="str"/>
      <x:c r="H7" s="34" t="str"/>
      <x:c r="I7" s="34" t="str">
        <x:v>补全身图，降低穿搭想象成本</x:v>
      </x:c>
    </x:row>
    <x:row r="8" ht="48" customHeight="1">
      <x:c r="A8" s="33" t="str">
        <x:v>产品细节图</x:v>
      </x:c>
      <x:c r="B8" s="33" t="str">
        <x:v>细节查阅</x:v>
      </x:c>
      <x:c r="C8" s="33" t="str">
        <x:v>是否能看到关键结构、材质和工艺</x:v>
      </x:c>
      <x:c r="D8" s="33" t="n">
        <x:v>8</x:v>
      </x:c>
      <x:c r="E8" s="33" t="str"/>
      <x:c r="F8" s="33" t="n">
        <x:f>D8*E8</x:f>
        <x:v>0</x:v>
      </x:c>
      <x:c r="G8" s="33" t="str"/>
      <x:c r="H8" s="33" t="str"/>
      <x:c r="I8" s="33" t="str">
        <x:v>补局部特写和卖点细节</x:v>
      </x:c>
    </x:row>
    <x:row r="9" ht="48" customHeight="1">
      <x:c r="A9" s="34" t="str">
        <x:v>多颜色图</x:v>
      </x:c>
      <x:c r="B9" s="34" t="str">
        <x:v>细节查阅</x:v>
      </x:c>
      <x:c r="C9" s="34" t="str">
        <x:v>是否清楚展示全部颜色/系列</x:v>
      </x:c>
      <x:c r="D9" s="34" t="n">
        <x:v>5</x:v>
      </x:c>
      <x:c r="E9" s="34" t="str"/>
      <x:c r="F9" s="34" t="n">
        <x:f>D9*E9</x:f>
        <x:v>0</x:v>
      </x:c>
      <x:c r="G9" s="34" t="str"/>
      <x:c r="H9" s="34" t="str"/>
      <x:c r="I9" s="34" t="str">
        <x:v>补颜色矩阵和可选色差异</x:v>
      </x:c>
    </x:row>
    <x:row r="10" ht="48" customHeight="1">
      <x:c r="A10" s="33" t="str">
        <x:v>多角度图</x:v>
      </x:c>
      <x:c r="B10" s="33" t="str">
        <x:v>细节查阅</x:v>
      </x:c>
      <x:c r="C10" s="33" t="str">
        <x:v>是否满足正侧底背等多角度查看</x:v>
      </x:c>
      <x:c r="D10" s="33" t="n">
        <x:v>5</x:v>
      </x:c>
      <x:c r="E10" s="33" t="str"/>
      <x:c r="F10" s="33" t="n">
        <x:f>D10*E10</x:f>
        <x:v>0</x:v>
      </x:c>
      <x:c r="G10" s="33" t="str"/>
      <x:c r="H10" s="33" t="str"/>
      <x:c r="I10" s="33" t="str">
        <x:v>补关键角度，减少盲区</x:v>
      </x:c>
    </x:row>
    <x:row r="11" ht="48" customHeight="1">
      <x:c r="A11" s="34" t="str">
        <x:v>测量/尺码提示</x:v>
      </x:c>
      <x:c r="B11" s="34" t="str">
        <x:v>尺码/适配决策</x:v>
      </x:c>
      <x:c r="C11" s="34" t="str">
        <x:v>头图是否露出关键选码信息</x:v>
      </x:c>
      <x:c r="D11" s="34" t="n">
        <x:v>5</x:v>
      </x:c>
      <x:c r="E11" s="34" t="str"/>
      <x:c r="F11" s="34" t="n">
        <x:f>D11*E11</x:f>
        <x:v>0</x:v>
      </x:c>
      <x:c r="G11" s="34" t="str"/>
      <x:c r="H11" s="34" t="str"/>
      <x:c r="I11" s="34" t="str">
        <x:v>在高风险品类前置尺码提示</x:v>
      </x:c>
    </x:row>
    <x:row r="12" ht="48" customHeight="1">
      <x:c r="A12" s="33" t="str">
        <x:v>基础信息露出</x:v>
      </x:c>
      <x:c r="B12" s="33" t="str">
        <x:v>基础信息</x:v>
      </x:c>
      <x:c r="C12" s="33" t="str">
        <x:v>是否露出用户最关心的材质/颜色/功能</x:v>
      </x:c>
      <x:c r="D12" s="33" t="n">
        <x:v>5</x:v>
      </x:c>
      <x:c r="E12" s="33" t="str"/>
      <x:c r="F12" s="33" t="n">
        <x:f>D12*E12</x:f>
        <x:v>0</x:v>
      </x:c>
      <x:c r="G12" s="33" t="str"/>
      <x:c r="H12" s="33" t="str"/>
      <x:c r="I12" s="33" t="str">
        <x:v>把复杂文本转成图标/短句</x:v>
      </x:c>
    </x:row>
    <x:row r="13" ht="48" customHeight="1">
      <x:c r="A13" s="34" t="str">
        <x:v>品牌/产品背书露出</x:v>
      </x:c>
      <x:c r="B13" s="34" t="str">
        <x:v>品牌/产品背书</x:v>
      </x:c>
      <x:c r="C13" s="34" t="str">
        <x:v>是否用认证、系列或品牌资产建立信任</x:v>
      </x:c>
      <x:c r="D13" s="34" t="n">
        <x:v>5</x:v>
      </x:c>
      <x:c r="E13" s="34" t="str"/>
      <x:c r="F13" s="34" t="n">
        <x:f>D13*E13</x:f>
        <x:v>0</x:v>
      </x:c>
      <x:c r="G13" s="34" t="str"/>
      <x:c r="H13" s="34" t="str"/>
      <x:c r="I13" s="34" t="str">
        <x:v>补科技认证、系列资产或专业背书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</x:row>
    <x:row r="15">
      <x:c r="A15" s="42" t="str">
        <x:v>小计</x:v>
      </x:c>
      <x:c r="B15" s="42" t="str"/>
      <x:c r="C15" s="42" t="str"/>
      <x:c r="D15" s="42" t="n">
        <x:f>SUM(D4:D13)</x:f>
        <x:v>75</x:v>
      </x:c>
      <x:c r="E15" s="42" t="str"/>
      <x:c r="F15" s="42" t="n">
        <x:f>SUM(F4:F13)</x:f>
        <x:v>0</x:v>
      </x:c>
      <x:c r="G15" s="42"/>
      <x:c r="H15" s="42"/>
      <x:c r="I15" s="42"/>
    </x:row>
    <x:row r="16">
      <x:c r="A16" s="42" t="str">
        <x:v>得分率</x:v>
      </x:c>
      <x:c r="B16" s="42" t="str"/>
      <x:c r="C16" s="42" t="str"/>
      <x:c r="D16" s="42" t="str"/>
      <x:c r="E16" s="42" t="str"/>
      <x:c r="F16" s="42" t="n">
        <x:f>F15/D15</x:f>
        <x:v>0</x:v>
      </x:c>
      <x:c r="G16" s="42"/>
      <x:c r="H16" s="42"/>
      <x:c r="I16" s="42"/>
    </x:row>
    <x:row r="17">
      <x:c r="A17" s="42" t="str">
        <x:v>判断</x:v>
      </x:c>
      <x:c r="B17" s="42" t="str"/>
      <x:c r="C17" s="42" t="str"/>
      <x:c r="D17" s="42" t="str"/>
      <x:c r="E17" s="42" t="str"/>
      <x:c r="F17" s="42" t="str">
        <x:f>LOOKUP(F16,{0,0.35,0.65,0.85},{"弱","中","强","领先"})</x:f>
        <x:v>弱</x:v>
      </x:c>
      <x:c r="G17" s="42"/>
      <x:c r="H17" s="42"/>
      <x:c r="I17" s="42"/>
    </x:row>
  </x:sheetData>
  <x:mergeCells>
    <x:mergeCell ref="A1:I1"/>
  </x:mergeCells>
  <x:dataValidations count="1">
    <x:dataValidation allowBlank="1" sqref="E4:E13"/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33.33000183105469" hidden="0" customWidth="1"/>
    <x:col min="4" max="4" width="7.78000020980835" hidden="0" customWidth="1"/>
    <x:col min="5" max="5" width="10" hidden="0" customWidth="1"/>
    <x:col min="6" max="6" width="10.5600004196167" hidden="0" customWidth="1"/>
    <x:col min="7" max="7" width="27.780000686645508" hidden="0" customWidth="1"/>
    <x:col min="8" max="8" width="27.780000686645508" hidden="0" customWidth="1"/>
    <x:col min="9" max="9" width="28.889999389648438" hidden="0" customWidth="1"/>
  </x:cols>
  <x:sheetData>
    <x:row r="1" ht="33" customHeight="1">
      <x:c r="A1" s="39" t="str">
        <x:v>详情页评分 | 负责相信、会选、自然下单</x:v>
      </x:c>
      <x:c r="B1" s="39" t="str">
        <x:v>详情页评分 | 负责相信、会选、自然下单</x:v>
      </x:c>
      <x:c r="C1" s="39" t="str">
        <x:v>详情页评分 | 负责相信、会选、自然下单</x:v>
      </x:c>
      <x:c r="D1" s="39" t="str">
        <x:v>详情页评分 | 负责相信、会选、自然下单</x:v>
      </x:c>
      <x:c r="E1" s="39" t="str">
        <x:v>详情页评分 | 负责相信、会选、自然下单</x:v>
      </x:c>
      <x:c r="F1" s="39" t="str">
        <x:v>详情页评分 | 负责相信、会选、自然下单</x:v>
      </x:c>
      <x:c r="G1" s="39" t="str">
        <x:v>详情页评分 | 负责相信、会选、自然下单</x:v>
      </x:c>
      <x:c r="H1" s="39" t="str">
        <x:v>详情页评分 | 负责相信、会选、自然下单</x:v>
      </x:c>
      <x:c r="I1" s="39" t="str">
        <x:v>详情页评分 | 负责相信、会选、自然下单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</x:row>
    <x:row r="3">
      <x:c r="A3" s="41" t="str">
        <x:v>评分项</x:v>
      </x:c>
      <x:c r="B3" s="41" t="str">
        <x:v>所属模块</x:v>
      </x:c>
      <x:c r="C3" s="41" t="str">
        <x:v>判断标准</x:v>
      </x:c>
      <x:c r="D3" s="41" t="str">
        <x:v>权重</x:v>
      </x:c>
      <x:c r="E3" s="41" t="str">
        <x:v>评分</x:v>
      </x:c>
      <x:c r="F3" s="41" t="str">
        <x:v>加权得分</x:v>
      </x:c>
      <x:c r="G3" s="41" t="str">
        <x:v>证据/截图位置</x:v>
      </x:c>
      <x:c r="H3" s="41" t="str">
        <x:v>问题记录</x:v>
      </x:c>
      <x:c r="I3" s="41" t="str">
        <x:v>优化方向</x:v>
      </x:c>
    </x:row>
    <x:row r="4" ht="48" customHeight="1">
      <x:c r="A4" s="33" t="str">
        <x:v>产品互动</x:v>
      </x:c>
      <x:c r="B4" s="33" t="str">
        <x:v>产品互动</x:v>
      </x:c>
      <x:c r="C4" s="33" t="str">
        <x:v>视频/AR/3D 是否解释功能、结构或试穿效果</x:v>
      </x:c>
      <x:c r="D4" s="33" t="n">
        <x:v>10</x:v>
      </x:c>
      <x:c r="E4" s="33" t="str"/>
      <x:c r="F4" s="33" t="n">
        <x:f>D4*E4</x:f>
        <x:v>0</x:v>
      </x:c>
      <x:c r="G4" s="33" t="str"/>
      <x:c r="H4" s="33" t="str"/>
      <x:c r="I4" s="33" t="str">
        <x:v>补视频讲解、AR试穿、动效拆解</x:v>
      </x:c>
    </x:row>
    <x:row r="5" ht="48" customHeight="1">
      <x:c r="A5" s="34" t="str">
        <x:v>产品故事</x:v>
      </x:c>
      <x:c r="B5" s="34" t="str">
        <x:v>产品KV/故事</x:v>
      </x:c>
      <x:c r="C5" s="34" t="str">
        <x:v>是否有产品灵感、系列、设计理念和情绪价值</x:v>
      </x:c>
      <x:c r="D5" s="34" t="n">
        <x:v>10</x:v>
      </x:c>
      <x:c r="E5" s="34" t="str"/>
      <x:c r="F5" s="34" t="n">
        <x:f>D5*E5</x:f>
        <x:v>0</x:v>
      </x:c>
      <x:c r="G5" s="34" t="str"/>
      <x:c r="H5" s="34" t="str"/>
      <x:c r="I5" s="34" t="str">
        <x:v>建立产品故事模块</x:v>
      </x:c>
    </x:row>
    <x:row r="6" ht="48" customHeight="1">
      <x:c r="A6" s="33" t="str">
        <x:v>产品卖点</x:v>
      </x:c>
      <x:c r="B6" s="33" t="str">
        <x:v>卖点与功能证明</x:v>
      </x:c>
      <x:c r="C6" s="33" t="str">
        <x:v>卖点是否有层级、有证据、有图解</x:v>
      </x:c>
      <x:c r="D6" s="33" t="n">
        <x:v>15</x:v>
      </x:c>
      <x:c r="E6" s="33" t="str"/>
      <x:c r="F6" s="33" t="n">
        <x:f>D6*E6</x:f>
        <x:v>0</x:v>
      </x:c>
      <x:c r="G6" s="33" t="str"/>
      <x:c r="H6" s="33" t="str"/>
      <x:c r="I6" s="33" t="str">
        <x:v>核心卖点前置并图文化</x:v>
      </x:c>
    </x:row>
    <x:row r="7" ht="48" customHeight="1">
      <x:c r="A7" s="34" t="str">
        <x:v>产品场景化</x:v>
      </x:c>
      <x:c r="B7" s="34" t="str">
        <x:v>沉浸式购物/场景化</x:v>
      </x:c>
      <x:c r="C7" s="34" t="str">
        <x:v>是否建立使用、穿搭、运动、生活代入感</x:v>
      </x:c>
      <x:c r="D7" s="34" t="n">
        <x:v>15</x:v>
      </x:c>
      <x:c r="E7" s="34" t="str"/>
      <x:c r="F7" s="34" t="n">
        <x:f>D7*E7</x:f>
        <x:v>0</x:v>
      </x:c>
      <x:c r="G7" s="34" t="str"/>
      <x:c r="H7" s="34" t="str"/>
      <x:c r="I7" s="34" t="str">
        <x:v>补场景图和使用故事</x:v>
      </x:c>
    </x:row>
    <x:row r="8" ht="48" customHeight="1">
      <x:c r="A8" s="33" t="str">
        <x:v>产品细节设计图</x:v>
      </x:c>
      <x:c r="B8" s="33" t="str">
        <x:v>细节查阅</x:v>
      </x:c>
      <x:c r="C8" s="33" t="str">
        <x:v>细节是否围绕功能/材料/工艺展开</x:v>
      </x:c>
      <x:c r="D8" s="33" t="n">
        <x:v>8</x:v>
      </x:c>
      <x:c r="E8" s="33" t="str"/>
      <x:c r="F8" s="33" t="n">
        <x:f>D8*E8</x:f>
        <x:v>0</x:v>
      </x:c>
      <x:c r="G8" s="33" t="str"/>
      <x:c r="H8" s="33" t="str"/>
      <x:c r="I8" s="33" t="str">
        <x:v>用标注讲清细节价值</x:v>
      </x:c>
    </x:row>
    <x:row r="9" ht="48" customHeight="1">
      <x:c r="A9" s="34" t="str">
        <x:v>颜色与视图</x:v>
      </x:c>
      <x:c r="B9" s="34" t="str">
        <x:v>细节查阅</x:v>
      </x:c>
      <x:c r="C9" s="34" t="str">
        <x:v>颜色、角度、系列是否完整可比较</x:v>
      </x:c>
      <x:c r="D9" s="34" t="n">
        <x:v>6</x:v>
      </x:c>
      <x:c r="E9" s="34" t="str"/>
      <x:c r="F9" s="34" t="n">
        <x:f>D9*E9</x:f>
        <x:v>0</x:v>
      </x:c>
      <x:c r="G9" s="34" t="str"/>
      <x:c r="H9" s="34" t="str"/>
      <x:c r="I9" s="34" t="str">
        <x:v>建立颜色/角度/系列矩阵</x:v>
      </x:c>
    </x:row>
    <x:row r="10" ht="48" customHeight="1">
      <x:c r="A10" s="33" t="str">
        <x:v>系列/场景推荐</x:v>
      </x:c>
      <x:c r="B10" s="33" t="str">
        <x:v>个性化推荐/延展购买</x:v>
      </x:c>
      <x:c r="C10" s="33" t="str">
        <x:v>是否有搭配、同系列、同场景推荐</x:v>
      </x:c>
      <x:c r="D10" s="33" t="n">
        <x:v>4</x:v>
      </x:c>
      <x:c r="E10" s="33" t="str"/>
      <x:c r="F10" s="33" t="n">
        <x:f>D10*E10</x:f>
        <x:v>0</x:v>
      </x:c>
      <x:c r="G10" s="33" t="str"/>
      <x:c r="H10" s="33" t="str"/>
      <x:c r="I10" s="33" t="str">
        <x:v>按使用场景推荐相关商品</x:v>
      </x:c>
    </x:row>
    <x:row r="11" ht="48" customHeight="1">
      <x:c r="A11" s="34" t="str">
        <x:v>测量指南</x:v>
      </x:c>
      <x:c r="B11" s="34" t="str">
        <x:v>尺码/适配决策</x:v>
      </x:c>
      <x:c r="C11" s="34" t="str">
        <x:v>是否指导用户如何测量和选择</x:v>
      </x:c>
      <x:c r="D11" s="34" t="n">
        <x:v>4</x:v>
      </x:c>
      <x:c r="E11" s="34" t="str"/>
      <x:c r="F11" s="34" t="n">
        <x:f>D11*E11</x:f>
        <x:v>0</x:v>
      </x:c>
      <x:c r="G11" s="34" t="str"/>
      <x:c r="H11" s="34" t="str"/>
      <x:c r="I11" s="34" t="str">
        <x:v>补测量图示</x:v>
      </x:c>
    </x:row>
    <x:row r="12" ht="48" customHeight="1">
      <x:c r="A12" s="33" t="str">
        <x:v>尺码建议</x:v>
      </x:c>
      <x:c r="B12" s="33" t="str">
        <x:v>尺码/适配决策</x:v>
      </x:c>
      <x:c r="C12" s="33" t="str">
        <x:v>是否提供版型、脚型/身型、消费者反馈</x:v>
      </x:c>
      <x:c r="D12" s="33" t="n">
        <x:v>4</x:v>
      </x:c>
      <x:c r="E12" s="33" t="str"/>
      <x:c r="F12" s="33" t="n">
        <x:f>D12*E12</x:f>
        <x:v>0</x:v>
      </x:c>
      <x:c r="G12" s="33" t="str"/>
      <x:c r="H12" s="33" t="str"/>
      <x:c r="I12" s="33" t="str">
        <x:v>补人群化尺码建议</x:v>
      </x:c>
    </x:row>
    <x:row r="13" ht="48" customHeight="1">
      <x:c r="A13" s="34" t="str">
        <x:v>消费者荐言</x:v>
      </x:c>
      <x:c r="B13" s="34" t="str">
        <x:v>尺码/适配决策</x:v>
      </x:c>
      <x:c r="C13" s="34" t="str">
        <x:v>是否有真实反馈支持购买判断</x:v>
      </x:c>
      <x:c r="D13" s="34" t="n">
        <x:v>2</x:v>
      </x:c>
      <x:c r="E13" s="34" t="str"/>
      <x:c r="F13" s="34" t="n">
        <x:f>D13*E13</x:f>
        <x:v>0</x:v>
      </x:c>
      <x:c r="G13" s="34" t="str"/>
      <x:c r="H13" s="34" t="str"/>
      <x:c r="I13" s="34" t="str">
        <x:v>提炼评论中的尺码/舒适/场景反馈</x:v>
      </x:c>
    </x:row>
    <x:row r="14" ht="48" customHeight="1">
      <x:c r="A14" s="33" t="str">
        <x:v>面料/材质/成分</x:v>
      </x:c>
      <x:c r="B14" s="33" t="str">
        <x:v>基础信息</x:v>
      </x:c>
      <x:c r="C14" s="33" t="str">
        <x:v>是否结构化呈现基础商品信息</x:v>
      </x:c>
      <x:c r="D14" s="33" t="n">
        <x:v>3</x:v>
      </x:c>
      <x:c r="E14" s="33" t="str"/>
      <x:c r="F14" s="33" t="n">
        <x:f>D14*E14</x:f>
        <x:v>0</x:v>
      </x:c>
      <x:c r="G14" s="33" t="str"/>
      <x:c r="H14" s="33" t="str"/>
      <x:c r="I14" s="33" t="str">
        <x:v>改为卡片/表格/图标</x:v>
      </x:c>
    </x:row>
    <x:row r="15" ht="48" customHeight="1">
      <x:c r="A15" s="34" t="str">
        <x:v>护理说明</x:v>
      </x:c>
      <x:c r="B15" s="34" t="str">
        <x:v>使用说明/服务事项</x:v>
      </x:c>
      <x:c r="C15" s="34" t="str">
        <x:v>是否降低使用和保养顾虑</x:v>
      </x:c>
      <x:c r="D15" s="34" t="n">
        <x:v>2</x:v>
      </x:c>
      <x:c r="E15" s="34" t="str"/>
      <x:c r="F15" s="34" t="n">
        <x:f>D15*E15</x:f>
        <x:v>0</x:v>
      </x:c>
      <x:c r="G15" s="34" t="str"/>
      <x:c r="H15" s="34" t="str"/>
      <x:c r="I15" s="34" t="str">
        <x:v>补护理、保养、注意事项</x:v>
      </x:c>
    </x:row>
    <x:row r="16" ht="48" customHeight="1">
      <x:c r="A16" s="33" t="str">
        <x:v>服务事项</x:v>
      </x:c>
      <x:c r="B16" s="33" t="str">
        <x:v>使用说明/服务事项</x:v>
      </x:c>
      <x:c r="C16" s="33" t="str">
        <x:v>退换、售后、配送是否清楚</x:v>
      </x:c>
      <x:c r="D16" s="33" t="n">
        <x:v>3</x:v>
      </x:c>
      <x:c r="E16" s="33" t="str"/>
      <x:c r="F16" s="33" t="n">
        <x:f>D16*E16</x:f>
        <x:v>0</x:v>
      </x:c>
      <x:c r="G16" s="33" t="str"/>
      <x:c r="H16" s="33" t="str"/>
      <x:c r="I16" s="33" t="str">
        <x:v>前置关键服务承诺</x:v>
      </x:c>
    </x:row>
    <x:row r="17" ht="48" customHeight="1">
      <x:c r="A17" s="34" t="str">
        <x:v>机构/产品/品牌背书</x:v>
      </x:c>
      <x:c r="B17" s="34" t="str">
        <x:v>品牌/产品背书</x:v>
      </x:c>
      <x:c r="C17" s="34" t="str">
        <x:v>是否有可信证据增强价值感</x:v>
      </x:c>
      <x:c r="D17" s="34" t="n">
        <x:v>5</x:v>
      </x:c>
      <x:c r="E17" s="34" t="str"/>
      <x:c r="F17" s="34" t="n">
        <x:f>D17*E17</x:f>
        <x:v>0</x:v>
      </x:c>
      <x:c r="G17" s="34" t="str"/>
      <x:c r="H17" s="34" t="str"/>
      <x:c r="I17" s="34" t="str">
        <x:v>补认证、奖项、运动员、科技来源</x:v>
      </x:c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</x:row>
    <x:row r="19">
      <x:c r="A19" s="42" t="str">
        <x:v>小计</x:v>
      </x:c>
      <x:c r="B19" s="42" t="str"/>
      <x:c r="C19" s="42" t="str"/>
      <x:c r="D19" s="42" t="n">
        <x:f>SUM(D4:D17)</x:f>
        <x:v>91</x:v>
      </x:c>
      <x:c r="E19" s="42" t="str"/>
      <x:c r="F19" s="42" t="n">
        <x:f>SUM(F4:F17)</x:f>
        <x:v>0</x:v>
      </x:c>
      <x:c r="G19" s="42"/>
      <x:c r="H19" s="42"/>
      <x:c r="I19" s="42"/>
    </x:row>
    <x:row r="20">
      <x:c r="A20" s="42" t="str">
        <x:v>得分率</x:v>
      </x:c>
      <x:c r="B20" s="42" t="str"/>
      <x:c r="C20" s="42" t="str"/>
      <x:c r="D20" s="42" t="str"/>
      <x:c r="E20" s="42" t="str"/>
      <x:c r="F20" s="42" t="n">
        <x:f>F19/D19</x:f>
        <x:v>0</x:v>
      </x:c>
      <x:c r="G20" s="42"/>
      <x:c r="H20" s="42"/>
      <x:c r="I20" s="42"/>
    </x:row>
    <x:row r="21">
      <x:c r="A21" s="42" t="str">
        <x:v>判断</x:v>
      </x:c>
      <x:c r="B21" s="42" t="str"/>
      <x:c r="C21" s="42" t="str"/>
      <x:c r="D21" s="42" t="str"/>
      <x:c r="E21" s="42" t="str"/>
      <x:c r="F21" s="42" t="str">
        <x:f>LOOKUP(F20,{0,0.35,0.65,0.85},{"弱","中","强","领先"})</x:f>
        <x:v>弱</x:v>
      </x:c>
      <x:c r="G21" s="42"/>
      <x:c r="H21" s="42"/>
      <x:c r="I21" s="42"/>
    </x:row>
  </x:sheetData>
  <x:mergeCells>
    <x:mergeCell ref="A1:I1"/>
  </x:mergeCells>
  <x:dataValidations count="1">
    <x:dataValidation allowBlank="1" sqref="E4:E17"/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220000267028809" hidden="0" customWidth="1"/>
    <x:col min="2" max="2" width="16.670000076293945" hidden="0" customWidth="1"/>
    <x:col min="3" max="3" width="28.889999389648438" hidden="0" customWidth="1"/>
    <x:col min="4" max="4" width="35.560001373291016" hidden="0" customWidth="1"/>
    <x:col min="5" max="5" width="28.889999389648438" hidden="0" customWidth="1"/>
  </x:cols>
  <x:sheetData>
    <x:row r="1" ht="33" customHeight="1">
      <x:c r="A1" s="39" t="str">
        <x:v>星级规则 | 分数到页面成熟度</x:v>
      </x:c>
      <x:c r="B1" s="39" t="str">
        <x:v>星级规则 | 分数到页面成熟度</x:v>
      </x:c>
      <x:c r="C1" s="39" t="str">
        <x:v>星级规则 | 分数到页面成熟度</x:v>
      </x:c>
      <x:c r="D1" s="39" t="str">
        <x:v>星级规则 | 分数到页面成熟度</x:v>
      </x:c>
      <x:c r="E1" s="39" t="str">
        <x:v>星级规则 | 分数到页面成熟度</x:v>
      </x:c>
      <x:c r="F1" s="39" t="str">
        <x:v>星级规则 | 分数到页面成熟度</x:v>
      </x:c>
      <x:c r="G1" s="39" t="str">
        <x:v>星级规则 | 分数到页面成熟度</x:v>
      </x:c>
      <x:c r="H1" s="39" t="str">
        <x:v>星级规则 | 分数到页面成熟度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星级</x:v>
      </x:c>
      <x:c r="B3" s="41" t="str">
        <x:v>得分率</x:v>
      </x:c>
      <x:c r="C3" s="41" t="str">
        <x:v>页面类型</x:v>
      </x:c>
      <x:c r="D3" s="41" t="str">
        <x:v>典型表现</x:v>
      </x:c>
      <x:c r="E3" s="41" t="str">
        <x:v>核心升级动作</x:v>
      </x:c>
      <x:c r="F3" s="40"/>
      <x:c r="G3" s="40"/>
      <x:c r="H3" s="40"/>
    </x:row>
    <x:row r="4">
      <x:c r="A4" s="33" t="str">
        <x:v>1星</x:v>
      </x:c>
      <x:c r="B4" s="33" t="str">
        <x:v>&lt;20%</x:v>
      </x:c>
      <x:c r="C4" s="33" t="str">
        <x:v>信息缺失型</x:v>
      </x:c>
      <x:c r="D4" s="33" t="str">
        <x:v>商品图和基础参数不足，用户难以判断</x:v>
      </x:c>
      <x:c r="E4" s="33" t="str">
        <x:v>先补基础信息、尺码、颜色、关键图</x:v>
      </x:c>
      <x:c r="F4" s="40"/>
      <x:c r="G4" s="40"/>
      <x:c r="H4" s="40"/>
    </x:row>
    <x:row r="5">
      <x:c r="A5" s="34" t="str">
        <x:v>2星</x:v>
      </x:c>
      <x:c r="B5" s="34" t="str">
        <x:v>20%-35%</x:v>
      </x:c>
      <x:c r="C5" s="34" t="str">
        <x:v>基础陈列型</x:v>
      </x:c>
      <x:c r="D5" s="34" t="str">
        <x:v>有商品信息，但卖点和场景弱</x:v>
      </x:c>
      <x:c r="E5" s="34" t="str">
        <x:v>补卖点层级、图文结构、细节图</x:v>
      </x:c>
      <x:c r="F5" s="40"/>
      <x:c r="G5" s="40"/>
      <x:c r="H5" s="40"/>
    </x:row>
    <x:row r="6">
      <x:c r="A6" s="33" t="str">
        <x:v>3星</x:v>
      </x:c>
      <x:c r="B6" s="33" t="str">
        <x:v>35%-50%</x:v>
      </x:c>
      <x:c r="C6" s="33" t="str">
        <x:v>基础增强型</x:v>
      </x:c>
      <x:c r="D6" s="33" t="str">
        <x:v>能看懂商品，但缺少情绪和强说服</x:v>
      </x:c>
      <x:c r="E6" s="33" t="str">
        <x:v>补场景图、功能证据、尺码建议</x:v>
      </x:c>
      <x:c r="F6" s="40"/>
      <x:c r="G6" s="40"/>
      <x:c r="H6" s="40"/>
    </x:row>
    <x:row r="7">
      <x:c r="A7" s="34" t="str">
        <x:v>4星</x:v>
      </x:c>
      <x:c r="B7" s="34" t="str">
        <x:v>50%-65%</x:v>
      </x:c>
      <x:c r="C7" s="34" t="str">
        <x:v>完整说明型</x:v>
      </x:c>
      <x:c r="D7" s="34" t="str">
        <x:v>模块较全，但视觉与内容记忆点不足</x:v>
      </x:c>
      <x:c r="E7" s="34" t="str">
        <x:v>优化节奏、视觉表现、动态素材</x:v>
      </x:c>
      <x:c r="F7" s="40"/>
      <x:c r="G7" s="40"/>
      <x:c r="H7" s="40"/>
    </x:row>
    <x:row r="8">
      <x:c r="A8" s="33" t="str">
        <x:v>5星</x:v>
      </x:c>
      <x:c r="B8" s="33" t="str">
        <x:v>65%-80%</x:v>
      </x:c>
      <x:c r="C8" s="33" t="str">
        <x:v>进阶场景型</x:v>
      </x:c>
      <x:c r="D8" s="33" t="str">
        <x:v>场景和卖点较完整，有一定转化支撑</x:v>
      </x:c>
      <x:c r="E8" s="33" t="str">
        <x:v>强化故事、互动、背书和推荐</x:v>
      </x:c>
      <x:c r="F8" s="40"/>
      <x:c r="G8" s="40"/>
      <x:c r="H8" s="40"/>
    </x:row>
    <x:row r="9">
      <x:c r="A9" s="34" t="str">
        <x:v>6星</x:v>
      </x:c>
      <x:c r="B9" s="34" t="str">
        <x:v>80%-90%</x:v>
      </x:c>
      <x:c r="C9" s="34" t="str">
        <x:v>高阶故事型</x:v>
      </x:c>
      <x:c r="D9" s="34" t="str">
        <x:v>内容完整，具备品牌感和购买说服力</x:v>
      </x:c>
      <x:c r="E9" s="34" t="str">
        <x:v>做模块化复用和多渠道适配</x:v>
      </x:c>
      <x:c r="F9" s="40"/>
      <x:c r="G9" s="40"/>
      <x:c r="H9" s="40"/>
    </x:row>
    <x:row r="10">
      <x:c r="A10" s="33" t="str">
        <x:v>7星</x:v>
      </x:c>
      <x:c r="B10" s="33" t="str">
        <x:v>&gt;=90%</x:v>
      </x:c>
      <x:c r="C10" s="33" t="str">
        <x:v>标杆增长型</x:v>
      </x:c>
      <x:c r="D10" s="33" t="str">
        <x:v>完整故事、动态素材、证据、推荐和验证闭环</x:v>
      </x:c>
      <x:c r="E10" s="33" t="str">
        <x:v>进入自动化商品内容系统</x:v>
      </x:c>
      <x:c r="F10" s="40"/>
      <x:c r="G10" s="40"/>
      <x:c r="H10" s="40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8.889999389648438" hidden="0" customWidth="1"/>
    <x:col min="3" max="3" width="28.889999389648438" hidden="0" customWidth="1"/>
    <x:col min="4" max="4" width="31.110000610351562" hidden="0" customWidth="1"/>
    <x:col min="5" max="5" width="34.439998626708984" hidden="0" customWidth="1"/>
    <x:col min="6" max="6" width="28.889999389648438" hidden="0" customWidth="1"/>
    <x:col min="7" max="7" width="23.329999923706055" hidden="0" customWidth="1"/>
    <x:col min="8" max="8" width="24.440000534057617" hidden="0" customWidth="1"/>
    <x:col min="9" max="9" width="26.670000076293945" hidden="0" customWidth="1"/>
  </x:cols>
  <x:sheetData>
    <x:row r="1" ht="33" customHeight="1">
      <x:c r="A1" s="39" t="str">
        <x:v>评分逻辑案例 | 0 / 0.5 / 1 判分边界</x:v>
      </x:c>
      <x:c r="B1" s="39" t="str">
        <x:v>评分逻辑案例 | 0 / 0.5 / 1 判分边界</x:v>
      </x:c>
      <x:c r="C1" s="39" t="str">
        <x:v>评分逻辑案例 | 0 / 0.5 / 1 判分边界</x:v>
      </x:c>
      <x:c r="D1" s="39" t="str">
        <x:v>评分逻辑案例 | 0 / 0.5 / 1 判分边界</x:v>
      </x:c>
      <x:c r="E1" s="39" t="str">
        <x:v>评分逻辑案例 | 0 / 0.5 / 1 判分边界</x:v>
      </x:c>
      <x:c r="F1" s="39" t="str">
        <x:v>评分逻辑案例 | 0 / 0.5 / 1 判分边界</x:v>
      </x:c>
      <x:c r="G1" s="39" t="str">
        <x:v>评分逻辑案例 | 0 / 0.5 / 1 判分边界</x:v>
      </x:c>
      <x:c r="H1" s="39" t="str">
        <x:v>评分逻辑案例 | 0 / 0.5 / 1 判分边界</x:v>
      </x:c>
      <x:c r="I1" s="39" t="str">
        <x:v>评分逻辑案例 | 0 / 0.5 / 1 判分边界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</x:row>
    <x:row r="3">
      <x:c r="A3" s="41" t="str">
        <x:v>模块</x:v>
      </x:c>
      <x:c r="B3" s="41" t="str">
        <x:v>评分焦点</x:v>
      </x:c>
      <x:c r="C3" s="41" t="str">
        <x:v>0分案例</x:v>
      </x:c>
      <x:c r="D3" s="41" t="str">
        <x:v>0.5分案例</x:v>
      </x:c>
      <x:c r="E3" s="41" t="str">
        <x:v>1分案例</x:v>
      </x:c>
      <x:c r="F3" s="41" t="str">
        <x:v>常见误判</x:v>
      </x:c>
      <x:c r="G3" s="41" t="str">
        <x:v>参考来源</x:v>
      </x:c>
      <x:c r="H3" s="41" t="str">
        <x:v>判分提醒</x:v>
      </x:c>
      <x:c r="I3" s="41" t="str">
        <x:v>对应优化动作</x:v>
      </x:c>
    </x:row>
    <x:row r="4" ht="72" customHeight="1">
      <x:c r="A4" s="33" t="str">
        <x:v>产品互动</x:v>
      </x:c>
      <x:c r="B4" s="33" t="str">
        <x:v>动态内容是否帮助决策</x:v>
      </x:c>
      <x:c r="C4" s="33" t="str">
        <x:v>无视频、无AR、无3D，只能静态看图。</x:v>
      </x:c>
      <x:c r="D4" s="33" t="str">
        <x:v>有视频或互动，但只是氛围短片，无法解释功能、结构、试穿或使用效果。</x:v>
      </x:c>
      <x:c r="E4" s="33" t="str">
        <x:v>视频/AR/3D 能直接解释脚感、结构、科技、上身/上脚效果，并服务购买判断。</x:v>
      </x:c>
      <x:c r="F4" s="33" t="str">
        <x:v>把品牌宣传片误判为产品互动。若不解决具体购买问题，只能给0.5。</x:v>
      </x:c>
      <x:c r="G4" s="33" t="str">
        <x:v>Excel：产品互动；报告：消费者偏好动态素材</x:v>
      </x:c>
      <x:c r="H4" s="33" t="str">
        <x:v>互动不是为了炫技，是为了降低理解成本。</x:v>
      </x:c>
      <x:c r="I4" s="33" t="str">
        <x:v>补产品讲解视频、AR试穿、结构动效、运动状态对比。</x:v>
      </x:c>
    </x:row>
    <x:row r="5" ht="72" customHeight="1">
      <x:c r="A5" s="34" t="str">
        <x:v>产品KV/故事</x:v>
      </x:c>
      <x:c r="B5" s="34" t="str">
        <x:v>是否建立产品主张</x:v>
      </x:c>
      <x:c r="C5" s="34" t="str">
        <x:v>只有商品图和参数，没有一句话卖点、产品定位或故事。</x:v>
      </x:c>
      <x:c r="D5" s="34" t="str">
        <x:v>有海报，但只是视觉包装，缺少产品为什么值得买的表达。</x:v>
      </x:c>
      <x:c r="E5" s="34" t="str">
        <x:v>清晰呈现产品定位、系列故事、设计灵感或品牌资产，让用户记住这款商品。</x:v>
      </x:c>
      <x:c r="F5" s="34" t="str">
        <x:v>漂亮海报不等于产品故事；没有产品主张，只能按视觉素材计分。</x:v>
      </x:c>
      <x:c r="G5" s="34" t="str">
        <x:v>Excel：产品KV/产品海报；报告：产品故事模块</x:v>
      </x:c>
      <x:c r="H5" s="34" t="str">
        <x:v>故事要服务价值感，不是写长文。</x:v>
      </x:c>
      <x:c r="I5" s="34" t="str">
        <x:v>建立一句话主张、设计灵感、系列背景、产品大图海报。</x:v>
      </x:c>
    </x:row>
    <x:row r="6" ht="72" customHeight="1">
      <x:c r="A6" s="33" t="str">
        <x:v>沉浸式购物/场景化</x:v>
      </x:c>
      <x:c r="B6" s="33" t="str">
        <x:v>能否让用户想象自己使用</x:v>
      </x:c>
      <x:c r="C6" s="33" t="str">
        <x:v>无模特、无场景，只展示白底商品。</x:v>
      </x:c>
      <x:c r="D6" s="33" t="str">
        <x:v>有单一模特或场景，但姿态摆拍、场景弱关联、无法体现真实使用。</x:v>
      </x:c>
      <x:c r="E6" s="33" t="str">
        <x:v>覆盖运动、穿搭、生活或户外场景，有全身图、多人/多角度/动态状态，能建立代入感。</x:v>
      </x:c>
      <x:c r="F6" s="33" t="str">
        <x:v>单张模特图不等于场景化；必须和使用目的、卖点或风格关联。</x:v>
      </x:c>
      <x:c r="G6" s="33" t="str">
        <x:v>报告：沉浸式购物痛点；消费者偏好场景穿搭</x:v>
      </x:c>
      <x:c r="H6" s="33" t="str">
        <x:v>这是高权重模块，直接影响停留和转化。</x:v>
      </x:c>
      <x:c r="I6" s="33" t="str">
        <x:v>优先补模特全身场景图、使用场景、运动状态、穿搭组合。</x:v>
      </x:c>
    </x:row>
    <x:row r="7" ht="72" customHeight="1">
      <x:c r="A7" s="34" t="str">
        <x:v>卖点与功能证明</x:v>
      </x:c>
      <x:c r="B7" s="34" t="str">
        <x:v>卖点是否可理解、可信</x:v>
      </x:c>
      <x:c r="C7" s="34" t="str">
        <x:v>卖点分散、只堆参数，用户看不出核心优势。</x:v>
      </x:c>
      <x:c r="D7" s="34" t="str">
        <x:v>有卖点但缺少视觉证据、结构图、对比或使用场景。</x:v>
      </x:c>
      <x:c r="E7" s="34" t="str">
        <x:v>核心卖点排序清楚，并通过科技图、参数对比、材料细节、场景证据解释为什么有效。</x:v>
      </x:c>
      <x:c r="F7" s="34" t="str">
        <x:v>卖点数量多不等于卖点强；没有层级会增加理解成本。</x:v>
      </x:c>
      <x:c r="G7" s="34" t="str">
        <x:v>Excel：产品卖点排版；报告：同等卖点竞品优于我方</x:v>
      </x:c>
      <x:c r="H7" s="34" t="str">
        <x:v>先讲最强决策点，再讲辅助点。</x:v>
      </x:c>
      <x:c r="I7" s="34" t="str">
        <x:v>重排卖点层级，补功能图、科技图、参数对比、场景证明。</x:v>
      </x:c>
    </x:row>
    <x:row r="8" ht="72" customHeight="1">
      <x:c r="A8" s="33" t="str">
        <x:v>细节查阅</x:v>
      </x:c>
      <x:c r="B8" s="33" t="str">
        <x:v>是否支持细看与比较</x:v>
      </x:c>
      <x:c r="C8" s="33" t="str">
        <x:v>缺少关键细节、颜色、角度、材质图。</x:v>
      </x:c>
      <x:c r="D8" s="33" t="str">
        <x:v>有基础细节图，但角度不全、颜色不全、细节没有解释价值。</x:v>
      </x:c>
      <x:c r="E8" s="33" t="str">
        <x:v>多角度、颜色、材质、结构、局部细节完整，且能和卖点建立关联。</x:v>
      </x:c>
      <x:c r="F8" s="33" t="str">
        <x:v>白底图很多不等于细节查阅完整；关键是能否支持比较和信任。</x:v>
      </x:c>
      <x:c r="G8" s="33" t="str">
        <x:v>Excel：产品细节图/多颜色/多角度；报告：细节查阅</x:v>
      </x:c>
      <x:c r="H8" s="33" t="str">
        <x:v>细节图要回答品质、差异、工艺和适配问题。</x:v>
      </x:c>
      <x:c r="I8" s="33" t="str">
        <x:v>补鞋底/鞋面/材质/配件/多色/多角度矩阵。</x:v>
      </x:c>
    </x:row>
    <x:row r="9" ht="72" customHeight="1">
      <x:c r="A9" s="34" t="str">
        <x:v>尺码/适配决策</x:v>
      </x:c>
      <x:c r="B9" s="34" t="str">
        <x:v>是否降低买错风险</x:v>
      </x:c>
      <x:c r="C9" s="34" t="str">
        <x:v>只有通用尺码表，用户仍不知道自己该买哪码。</x:v>
      </x:c>
      <x:c r="D9" s="34" t="str">
        <x:v>有尺码建议，但没有测量方法、版型说明、脚型/身型适配或消费者反馈。</x:v>
      </x:c>
      <x:c r="E9" s="34" t="str">
        <x:v>测量方式、版型脚型/身型建议、消费者荐言、试穿反馈完整，能降低咨询和退货。</x:v>
      </x:c>
      <x:c r="F9" s="34" t="str">
        <x:v>尺码表不能自动得满分；没有决策建议最多0.5。</x:v>
      </x:c>
      <x:c r="G9" s="34" t="str">
        <x:v>Excel：测量指南/尺码/消费者荐言；报告：尺码推荐</x:v>
      </x:c>
      <x:c r="H9" s="34" t="str">
        <x:v>尺码模块的目标是减少犹豫和售后风险。</x:v>
      </x:c>
      <x:c r="I9" s="34" t="str">
        <x:v>补测量图示、脚型/身型建议、评论摘要、选码提示。</x:v>
      </x:c>
    </x:row>
    <x:row r="10" ht="72" customHeight="1">
      <x:c r="A10" s="33" t="str">
        <x:v>基础信息</x:v>
      </x:c>
      <x:c r="B10" s="33" t="str">
        <x:v>是否清楚、结构化、可扫读</x:v>
      </x:c>
      <x:c r="C10" s="33" t="str">
        <x:v>材质、成分、颜色、护理等信息缺失。</x:v>
      </x:c>
      <x:c r="D10" s="33" t="str">
        <x:v>信息存在，但大段文本堆叠、位置分散、不可快速比较。</x:v>
      </x:c>
      <x:c r="E10" s="33" t="str">
        <x:v>基础信息结构化、图标化、表格化，用户能快速查到面料、材质、颜色、视图和细节。</x:v>
      </x:c>
      <x:c r="F10" s="33" t="str">
        <x:v>文字越多不等于信息越完整；难扫读会降低分。</x:v>
      </x:c>
      <x:c r="G10" s="33" t="str">
        <x:v>Excel：面料/材质/成分/颜色/视图/细节</x:v>
      </x:c>
      <x:c r="H10" s="33" t="str">
        <x:v>基础信息是信任底座，不是页面亮点。</x:v>
      </x:c>
      <x:c r="I10" s="33" t="str">
        <x:v>图文化基础信息，做卡片、图标、参数表。</x:v>
      </x:c>
    </x:row>
    <x:row r="11" ht="72" customHeight="1">
      <x:c r="A11" s="34" t="str">
        <x:v>使用说明/服务事项</x:v>
      </x:c>
      <x:c r="B11" s="34" t="str">
        <x:v>是否降低使用和售后顾虑</x:v>
      </x:c>
      <x:c r="C11" s="34" t="str">
        <x:v>没有护理、保养、退换、售后、配送等说明。</x:v>
      </x:c>
      <x:c r="D11" s="34" t="str">
        <x:v>有服务信息，但位置靠后、表达笼统、无法解决具体顾虑。</x:v>
      </x:c>
      <x:c r="E11" s="34" t="str">
        <x:v>服务、护理、退换、售后清楚，并与品类风险关联，如洗护、保养、防水、退换码。</x:v>
      </x:c>
      <x:c r="F11" s="34" t="str">
        <x:v>平台通用服务不等于商品服务；要看是否解决该品类具体顾虑。</x:v>
      </x:c>
      <x:c r="G11" s="34" t="str">
        <x:v>Excel：护理说明/服务事项</x:v>
      </x:c>
      <x:c r="H11" s="34" t="str">
        <x:v>分值不高，但会影响临门一脚。</x:v>
      </x:c>
      <x:c r="I11" s="34" t="str">
        <x:v>补护理说明、服务承诺、FAQ、退换说明。</x:v>
      </x:c>
    </x:row>
    <x:row r="12" ht="72" customHeight="1">
      <x:c r="A12" s="33" t="str">
        <x:v>品牌/产品背书</x:v>
      </x:c>
      <x:c r="B12" s="33" t="str">
        <x:v>是否给出可信理由</x:v>
      </x:c>
      <x:c r="C12" s="33" t="str">
        <x:v>缺少任何信任证据或品牌价值证明。</x:v>
      </x:c>
      <x:c r="D12" s="33" t="str">
        <x:v>有品牌口号，但缺少机构、科技、奖项、运动员或真实证据。</x:v>
      </x:c>
      <x:c r="E12" s="33" t="str">
        <x:v>用认证、奖项、专业机构、运动员、赛事、科技来源或品牌历史证明价值。</x:v>
      </x:c>
      <x:c r="F12" s="33" t="str">
        <x:v>品牌大不等于背书强；没有具体证据，只能给0.5或0。</x:v>
      </x:c>
      <x:c r="G12" s="33" t="str">
        <x:v>Excel：机构背书/产品背书/品牌背书；报告：品牌/产品背书</x:v>
      </x:c>
      <x:c r="H12" s="33" t="str">
        <x:v>背书要具体、可信、可验证。</x:v>
      </x:c>
      <x:c r="I12" s="33" t="str">
        <x:v>补科技认证、运动员/队伍、奖项、机构、历史资产。</x:v>
      </x:c>
    </x:row>
    <x:row r="13" ht="72" customHeight="1">
      <x:c r="A13" s="34" t="str">
        <x:v>个性化推荐/延展购买</x:v>
      </x:c>
      <x:c r="B13" s="34" t="str">
        <x:v>是否促进连带与复购</x:v>
      </x:c>
      <x:c r="C13" s="34" t="str">
        <x:v>无搭配、系列、场景或同类推荐。</x:v>
      </x:c>
      <x:c r="D13" s="34" t="str">
        <x:v>有推荐，但只是商品堆叠，缺少系列/场景/穿搭逻辑。</x:v>
      </x:c>
      <x:c r="E13" s="34" t="str">
        <x:v>推荐基于使用场景、穿搭组合、同系列、同功能或用户需求，能自然带动连带购买。</x:v>
      </x:c>
      <x:c r="F13" s="34" t="str">
        <x:v>猜你喜欢不等于个性化；没有明确推荐逻辑，只能0.5。</x:v>
      </x:c>
      <x:c r="G13" s="34" t="str">
        <x:v>Excel：系列/场景推荐；报告：个性化推荐缺失</x:v>
      </x:c>
      <x:c r="H13" s="34" t="str">
        <x:v>推荐要有理由，不是塞商品。</x:v>
      </x:c>
      <x:c r="I13" s="34" t="str">
        <x:v>补场景推荐、系列推荐、穿搭组合、配件搭配。</x:v>
      </x:c>
    </x:row>
    <x:row r="14" ht="72" customHeight="1">
      <x:c r="A14" s="33" t="str">
        <x:v>页面结构与节奏</x:v>
      </x:c>
      <x:c r="B14" s="33" t="str">
        <x:v>模块顺序是否形成购买叙事</x:v>
      </x:c>
      <x:c r="C14" s="33" t="str">
        <x:v>页面长但混乱，封面、卖点、细节、服务、推荐之间没有清晰推进。</x:v>
      </x:c>
      <x:c r="D14" s="33" t="str">
        <x:v>模块基本完整，但占屏失衡、内容重复，用户需要自己拼信息。</x:v>
      </x:c>
      <x:c r="E14" s="33" t="str">
        <x:v>封面故事、沉浸场景、卖点证明、细节查阅、基础信息、服务、推荐、背书形成连续决策链路。</x:v>
      </x:c>
      <x:c r="F14" s="33" t="str">
        <x:v>把页面做长误判为丰富；如果不提升决策信息密度，只能给0.5。</x:v>
      </x:c>
      <x:c r="G14" s="33" t="str">
        <x:v>参考.pdf：PDP页面模块结构模板</x:v>
      </x:c>
      <x:c r="H14" s="33" t="str">
        <x:v>结构分不是美观分，是购买路径是否顺。</x:v>
      </x:c>
      <x:c r="I14" s="33" t="str">
        <x:v>按PDP页面结构模板重排模块顺序、占屏和信息层级。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28.889999389648438" hidden="0" customWidth="1"/>
    <x:col min="4" max="4" width="30" hidden="0" customWidth="1"/>
    <x:col min="5" max="5" width="33.33000183105469" hidden="0" customWidth="1"/>
    <x:col min="6" max="6" width="28.889999389648438" hidden="0" customWidth="1"/>
    <x:col min="7" max="7" width="28.889999389648438" hidden="0" customWidth="1"/>
    <x:col min="8" max="8" width="24.440000534057617" hidden="0" customWidth="1"/>
  </x:cols>
  <x:sheetData>
    <x:row r="1" ht="33" customHeight="1">
      <x:c r="A1" s="39" t="str">
        <x:v>星级案例演示 | 从案例反推页面级别</x:v>
      </x:c>
      <x:c r="B1" s="39" t="str">
        <x:v>星级案例演示 | 从案例反推页面级别</x:v>
      </x:c>
      <x:c r="C1" s="39" t="str">
        <x:v>星级案例演示 | 从案例反推页面级别</x:v>
      </x:c>
      <x:c r="D1" s="39" t="str">
        <x:v>星级案例演示 | 从案例反推页面级别</x:v>
      </x:c>
      <x:c r="E1" s="39" t="str">
        <x:v>星级案例演示 | 从案例反推页面级别</x:v>
      </x:c>
      <x:c r="F1" s="39" t="str">
        <x:v>星级案例演示 | 从案例反推页面级别</x:v>
      </x:c>
      <x:c r="G1" s="39" t="str">
        <x:v>星级案例演示 | 从案例反推页面级别</x:v>
      </x:c>
      <x:c r="H1" s="39" t="str">
        <x:v>星级案例演示 | 从案例反推页面级别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案例类型</x:v>
      </x:c>
      <x:c r="B3" s="41" t="str">
        <x:v>建议星级</x:v>
      </x:c>
      <x:c r="C3" s="41" t="str">
        <x:v>典型模块表现</x:v>
      </x:c>
      <x:c r="D3" s="41" t="str">
        <x:v>为什么这样判</x:v>
      </x:c>
      <x:c r="E3" s="41" t="str">
        <x:v>常见问题</x:v>
      </x:c>
      <x:c r="F3" s="41" t="str">
        <x:v>升级目标</x:v>
      </x:c>
      <x:c r="G3" s="41" t="str">
        <x:v>优先动作</x:v>
      </x:c>
      <x:c r="H3" s="41" t="str">
        <x:v>验证指标</x:v>
      </x:c>
    </x:row>
    <x:row r="4" ht="69" customHeight="1">
      <x:c r="A4" s="33" t="str">
        <x:v>NIKE低星基础商品图</x:v>
      </x:c>
      <x:c r="B4" s="33" t="str">
        <x:v>1-2星</x:v>
      </x:c>
      <x:c r="C4" s="33" t="str">
        <x:v>基础商品图、尺码表或参数为主，场景/卖点/故事弱。</x:v>
      </x:c>
      <x:c r="D4" s="33" t="str">
        <x:v>用户能看到商品，但无法理解价值、适配场景和购买理由。</x:v>
      </x:c>
      <x:c r="E4" s="33" t="str">
        <x:v>信息有但不说服，页面短、单一、缺乏代入感。</x:v>
      </x:c>
      <x:c r="F4" s="33" t="str">
        <x:v>升至3-5星基础增强型。</x:v>
      </x:c>
      <x:c r="G4" s="33" t="str">
        <x:v>先补卖点图、细节图、尺码建议、基础场景图。</x:v>
      </x:c>
      <x:c r="H4" s="33" t="str">
        <x:v>停留时长、加购率、尺码咨询率。</x:v>
      </x:c>
    </x:row>
    <x:row r="5" ht="69" customHeight="1">
      <x:c r="A5" s="34" t="str">
        <x:v>NIKE 3-3.5星基础增强页</x:v>
      </x:c>
      <x:c r="B5" s="34" t="str">
        <x:v>3-3.5星</x:v>
      </x:c>
      <x:c r="C5" s="34" t="str">
        <x:v>有基础卖点、细节、尺码，但素材单一，场景与故事不完整。</x:v>
      </x:c>
      <x:c r="D5" s="34" t="str">
        <x:v>已能帮助理解商品，但缺少情绪、动态内容和高价值证据。</x:v>
      </x:c>
      <x:c r="E5" s="34" t="str">
        <x:v>模块存在但割裂，视觉风格普通，卖点不够聚焦。</x:v>
      </x:c>
      <x:c r="F5" s="34" t="str">
        <x:v>升至4-5星完整说明/场景型。</x:v>
      </x:c>
      <x:c r="G5" s="34" t="str">
        <x:v>重排卖点层级，补模特场景图、功能证据、图文化基础信息。</x:v>
      </x:c>
      <x:c r="H5" s="34" t="str">
        <x:v>模块曝光、卖点区域停留、支付转化率。</x:v>
      </x:c>
    </x:row>
    <x:row r="6" ht="69" customHeight="1">
      <x:c r="A6" s="33" t="str">
        <x:v>NIKE 4星完整说明页</x:v>
      </x:c>
      <x:c r="B6" s="33" t="str">
        <x:v>4星</x:v>
      </x:c>
      <x:c r="C6" s="33" t="str">
        <x:v>产品故事、卖点、场景、细节、尺码基本具备。</x:v>
      </x:c>
      <x:c r="D6" s="33" t="str">
        <x:v>页面已经完整，但视觉表现和素材丰富度不够形成标杆。</x:v>
      </x:c>
      <x:c r="E6" s="33" t="str">
        <x:v>内容像说明书，缺乏品牌记忆点与场景欲望。</x:v>
      </x:c>
      <x:c r="F6" s="33" t="str">
        <x:v>升至5-5.5星进阶场景型。</x:v>
      </x:c>
      <x:c r="G6" s="33" t="str">
        <x:v>强化视觉节奏、动态素材、场景图、产品故事海报。</x:v>
      </x:c>
      <x:c r="H6" s="33" t="str">
        <x:v>停留时长、视频播放率、收藏率。</x:v>
      </x:c>
    </x:row>
    <x:row r="7" ht="69" customHeight="1">
      <x:c r="A7" s="34" t="str">
        <x:v>竞品5星纯产品素材强化卖点</x:v>
      </x:c>
      <x:c r="B7" s="34" t="str">
        <x:v>5星</x:v>
      </x:c>
      <x:c r="C7" s="34" t="str">
        <x:v>产品图、卖点图、细节图、颜色/角度完整，说明效率高。</x:v>
      </x:c>
      <x:c r="D7" s="34" t="str">
        <x:v>虽然场景不一定很强，但产品信息和卖点证明清晰。</x:v>
      </x:c>
      <x:c r="E7" s="34" t="str">
        <x:v>容易偏理性，缺少穿搭/使用想象。</x:v>
      </x:c>
      <x:c r="F7" s="34" t="str">
        <x:v>升至5.5星场景结合卖点。</x:v>
      </x:c>
      <x:c r="G7" s="34" t="str">
        <x:v>补模特场景、使用场景、产品代入图。</x:v>
      </x:c>
      <x:c r="H7" s="34" t="str">
        <x:v>加购率、详情页停留、颜色/尺码点击。</x:v>
      </x:c>
    </x:row>
    <x:row r="8" ht="69" customHeight="1">
      <x:c r="A8" s="33" t="str">
        <x:v>竞品5.5星场景+卖点型</x:v>
      </x:c>
      <x:c r="B8" s="33" t="str">
        <x:v>5.5星</x:v>
      </x:c>
      <x:c r="C8" s="33" t="str">
        <x:v>场景为主，结合卖点、细节、模特、氛围，购买代入感强。</x:v>
      </x:c>
      <x:c r="D8" s="33" t="str">
        <x:v>能够同时回答‘我能不能用’和‘它好在哪里’。</x:v>
      </x:c>
      <x:c r="E8" s="33" t="str">
        <x:v>如果缺少品牌背书和互动内容，仍难到6星以上。</x:v>
      </x:c>
      <x:c r="F8" s="33" t="str">
        <x:v>升至6星高阶故事型。</x:v>
      </x:c>
      <x:c r="G8" s="33" t="str">
        <x:v>补产品故事、动态视频、科技/机构背书、系列推荐。</x:v>
      </x:c>
      <x:c r="H8" s="33" t="str">
        <x:v>视频播放率、收藏率、支付转化率。</x:v>
      </x:c>
    </x:row>
    <x:row r="9" ht="69" customHeight="1">
      <x:c r="A9" s="34" t="str">
        <x:v>竞品6星以上爆款故事型</x:v>
      </x:c>
      <x:c r="B9" s="34" t="str">
        <x:v>6-7星</x:v>
      </x:c>
      <x:c r="C9" s="34" t="str">
        <x:v>产品故事、场景、卖点、互动、细节、背书、推荐完整。</x:v>
      </x:c>
      <x:c r="D9" s="34" t="str">
        <x:v>页面从商品介绍升级为完整购买叙事和品牌体验。</x:v>
      </x:c>
      <x:c r="E9" s="34" t="str">
        <x:v>生产成本高，需要素材、品牌、商品、运营协同。</x:v>
      </x:c>
      <x:c r="F9" s="34" t="str">
        <x:v>进入模块化复用与自动化商品内容系统。</x:v>
      </x:c>
      <x:c r="G9" s="34" t="str">
        <x:v>建立素材Brief、PIM标签、模块规则、A/B验证机制。</x:v>
      </x:c>
      <x:c r="H9" s="34" t="str">
        <x:v>转化率、客单价、复购、素材复用率。</x:v>
      </x:c>
    </x:row>
    <x:row r="10" ht="69" customHeight="1">
      <x:c r="A10" s="33" t="str">
        <x:v>头图强但详情弱</x:v>
      </x:c>
      <x:c r="B10" s="33" t="str">
        <x:v>头图高分 / 详情低分</x:v>
      </x:c>
      <x:c r="C10" s="33" t="str">
        <x:v>头图有强场景或KV，但详情缺少卖点、尺码、细节和证据。</x:v>
      </x:c>
      <x:c r="D10" s="33" t="str">
        <x:v>能吸引点击，但无法完成购买说服。</x:v>
      </x:c>
      <x:c r="E10" s="33" t="str">
        <x:v>用户被吸引后仍会犹豫，咨询和跳失可能高。</x:v>
      </x:c>
      <x:c r="F10" s="33" t="str">
        <x:v>补详情页说服链路。</x:v>
      </x:c>
      <x:c r="G10" s="33" t="str">
        <x:v>补卖点证明、尺码建议、细节查阅、服务说明。</x:v>
      </x:c>
      <x:c r="H10" s="33" t="str">
        <x:v>详情页停留、加购率、咨询率。</x:v>
      </x:c>
    </x:row>
    <x:row r="11" ht="69" customHeight="1">
      <x:c r="A11" s="34" t="str">
        <x:v>详情完整但头图弱</x:v>
      </x:c>
      <x:c r="B11" s="34" t="str">
        <x:v>头图低分 / 详情高分</x:v>
      </x:c>
      <x:c r="C11" s="34" t="str">
        <x:v>详情内容完整，但头图缺乏场景、产品主张或视觉抓力。</x:v>
      </x:c>
      <x:c r="D11" s="34" t="str">
        <x:v>深度用户能被说服，但大量用户可能不会进入详情深看。</x:v>
      </x:c>
      <x:c r="E11" s="34" t="str">
        <x:v>首屏无法停下，图集点击和浏览深度受限。</x:v>
      </x:c>
      <x:c r="F11" s="34" t="str">
        <x:v>先强化头图即时吸引。</x:v>
      </x:c>
      <x:c r="G11" s="34" t="str">
        <x:v>补产品KV、场景首图、卖点短句、强细节图。</x:v>
      </x:c>
      <x:c r="H11" s="34" t="str">
        <x:v>头图点击、首屏停留、详情展开率。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18.889999389648438" hidden="0" customWidth="1"/>
    <x:col min="3" max="3" width="11.109999656677246" hidden="0" customWidth="1"/>
    <x:col min="4" max="4" width="13.329999923706055" hidden="0" customWidth="1"/>
    <x:col min="5" max="5" width="31.110000610351562" hidden="0" customWidth="1"/>
    <x:col min="6" max="6" width="30" hidden="0" customWidth="1"/>
    <x:col min="7" max="7" width="28.889999389648438" hidden="0" customWidth="1"/>
    <x:col min="8" max="8" width="26.670000076293945" hidden="0" customWidth="1"/>
    <x:col min="9" max="9" width="20" hidden="0" customWidth="1"/>
    <x:col min="10" max="10" width="20" hidden="0" customWidth="1"/>
  </x:cols>
  <x:sheetData>
    <x:row r="1" ht="33" customHeight="1">
      <x:c r="A1" s="39" t="str">
        <x:v>PDP 页面结构模板 | 从首屏吸引到购买闭环</x:v>
      </x:c>
      <x:c r="B1" s="39" t="str">
        <x:v>PDP 页面结构模板 | 从首屏吸引到购买闭环</x:v>
      </x:c>
      <x:c r="C1" s="39" t="str">
        <x:v>PDP 页面结构模板 | 从首屏吸引到购买闭环</x:v>
      </x:c>
      <x:c r="D1" s="39" t="str">
        <x:v>PDP 页面结构模板 | 从首屏吸引到购买闭环</x:v>
      </x:c>
      <x:c r="E1" s="39" t="str">
        <x:v>PDP 页面结构模板 | 从首屏吸引到购买闭环</x:v>
      </x:c>
      <x:c r="F1" s="39" t="str">
        <x:v>PDP 页面结构模板 | 从首屏吸引到购买闭环</x:v>
      </x:c>
      <x:c r="G1" s="39" t="str">
        <x:v>PDP 页面结构模板 | 从首屏吸引到购买闭环</x:v>
      </x:c>
      <x:c r="H1" s="39" t="str">
        <x:v>PDP 页面结构模板 | 从首屏吸引到购买闭环</x:v>
      </x:c>
      <x:c r="I1" s="39" t="str">
        <x:v>PDP 页面结构模板 | 从首屏吸引到购买闭环</x:v>
      </x:c>
      <x:c r="J1" s="39" t="str">
        <x:v>PDP 页面结构模板 | 从首屏吸引到购买闭环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1" t="str">
        <x:v>顺序</x:v>
      </x:c>
      <x:c r="B3" s="41" t="str">
        <x:v>模块</x:v>
      </x:c>
      <x:c r="C3" s="41" t="str">
        <x:v>占屏建议</x:v>
      </x:c>
      <x:c r="D3" s="41" t="str">
        <x:v>设计级别</x:v>
      </x:c>
      <x:c r="E3" s="41" t="str">
        <x:v>页面任务</x:v>
      </x:c>
      <x:c r="F3" s="41" t="str">
        <x:v>必备内容</x:v>
      </x:c>
      <x:c r="G3" s="41" t="str">
        <x:v>可选增强</x:v>
      </x:c>
      <x:c r="H3" s="41" t="str">
        <x:v>设计参考方向</x:v>
      </x:c>
      <x:c r="I3" s="41" t="str">
        <x:v>评分关联</x:v>
      </x:c>
      <x:c r="J3" s="41" t="str">
        <x:v>输出物</x:v>
      </x:c>
    </x:row>
    <x:row r="4" ht="72" customHeight="1">
      <x:c r="A4" s="33" t="n">
        <x:v>1</x:v>
      </x:c>
      <x:c r="B4" s="33" t="str">
        <x:v>封面故事/KV</x:v>
      </x:c>
      <x:c r="C4" s="33" t="str">
        <x:v>0.5-1屏</x:v>
      </x:c>
      <x:c r="D4" s="33" t="str">
        <x:v>通用</x:v>
      </x:c>
      <x:c r="E4" s="33" t="str">
        <x:v>让用户停下，并在3秒内知道这是什么、强在哪里、属于谁。</x:v>
      </x:c>
      <x:c r="F4" s="33" t="str">
        <x:v>产品名、系列名、核心卖点浓缩、产品/模特/场景主视觉、品牌logo</x:v>
      </x:c>
      <x:c r="G4" s="33" t="str">
        <x:v>设计灵感、系列资产、icon化功能名、首屏短视频</x:v>
      </x:c>
      <x:c r="H4" s="33" t="str">
        <x:v>产品大片海报、主视觉海报、强产品姿态</x:v>
      </x:c>
      <x:c r="I4" s="33" t="str">
        <x:v>产品KV/封面故事</x:v>
      </x:c>
      <x:c r="J4" s="33" t="str">
        <x:v>首屏KV Brief</x:v>
      </x:c>
    </x:row>
    <x:row r="5" ht="72" customHeight="1">
      <x:c r="A5" s="34" t="n">
        <x:v>2</x:v>
      </x:c>
      <x:c r="B5" s="34" t="str">
        <x:v>沉浸式购物/场景化</x:v>
      </x:c>
      <x:c r="C5" s="34" t="str">
        <x:v>N屏</x:v>
      </x:c>
      <x:c r="D5" s="34" t="str">
        <x:v>核心</x:v>
      </x:c>
      <x:c r="E5" s="34" t="str">
        <x:v>让用户想象自己在真实场景中使用或穿着。</x:v>
      </x:c>
      <x:c r="F5" s="34" t="str">
        <x:v>模特上身/上脚、生活/运动/户外场景、关键使用状态、穿搭氛围</x:v>
      </x:c>
      <x:c r="G5" s="34" t="str">
        <x:v>多人、多角度、动态过程、场景故事分镜、AIGC场景延展</x:v>
      </x:c>
      <x:c r="H5" s="34" t="str">
        <x:v>模特场景、产品场景、氛围大片</x:v>
      </x:c>
      <x:c r="I5" s="34" t="str">
        <x:v>沉浸式购物/场景化</x:v>
      </x:c>
      <x:c r="J5" s="34" t="str">
        <x:v>场景拍摄清单</x:v>
      </x:c>
    </x:row>
    <x:row r="6" ht="72" customHeight="1">
      <x:c r="A6" s="33" t="n">
        <x:v>3</x:v>
      </x:c>
      <x:c r="B6" s="33" t="str">
        <x:v>产品卖点/功能证明</x:v>
      </x:c>
      <x:c r="C6" s="33" t="str">
        <x:v>1-3屏</x:v>
      </x:c>
      <x:c r="D6" s="33" t="str">
        <x:v>核心</x:v>
      </x:c>
      <x:c r="E6" s="33" t="str">
        <x:v>把参数翻译成用户能理解的利益点，并证明它有效。</x:v>
      </x:c>
      <x:c r="F6" s="33" t="str">
        <x:v>核心卖点排序、科技/材料解释、结构图、对比图、使用证据</x:v>
      </x:c>
      <x:c r="G6" s="33" t="str">
        <x:v>爆炸图、手绘图、动效帧、竞品对比、测试数据</x:v>
      </x:c>
      <x:c r="H6" s="33" t="str">
        <x:v>功能图解、科技感视觉、局部结构说明</x:v>
      </x:c>
      <x:c r="I6" s="33" t="str">
        <x:v>卖点与功能证明</x:v>
      </x:c>
      <x:c r="J6" s="33" t="str">
        <x:v>卖点证据表</x:v>
      </x:c>
    </x:row>
    <x:row r="7" ht="72" customHeight="1">
      <x:c r="A7" s="34" t="n">
        <x:v>4</x:v>
      </x:c>
      <x:c r="B7" s="34" t="str">
        <x:v>细节查阅</x:v>
      </x:c>
      <x:c r="C7" s="34" t="str">
        <x:v>1-2屏</x:v>
      </x:c>
      <x:c r="D7" s="34" t="str">
        <x:v>通用</x:v>
      </x:c>
      <x:c r="E7" s="34" t="str">
        <x:v>支持用户细看、比较、确认品质。</x:v>
      </x:c>
      <x:c r="F7" s="34" t="str">
        <x:v>多角度、局部细节、材质纹理、颜色矩阵、结构标注</x:v>
      </x:c>
      <x:c r="G7" s="34" t="str">
        <x:v>360视图、放大镜、细节动图、配件/包装说明</x:v>
      </x:c>
      <x:c r="H7" s="34" t="str">
        <x:v>产品纯色底、多角度图、关键细节特写</x:v>
      </x:c>
      <x:c r="I7" s="34" t="str">
        <x:v>细节查阅</x:v>
      </x:c>
      <x:c r="J7" s="34" t="str">
        <x:v>细节图清单</x:v>
      </x:c>
    </x:row>
    <x:row r="8" ht="72" customHeight="1">
      <x:c r="A8" s="33" t="n">
        <x:v>5</x:v>
      </x:c>
      <x:c r="B8" s="33" t="str">
        <x:v>基础信息/对比选购</x:v>
      </x:c>
      <x:c r="C8" s="33" t="str">
        <x:v>0.5-1.5屏</x:v>
      </x:c>
      <x:c r="D8" s="33" t="str">
        <x:v>通用</x:v>
      </x:c>
      <x:c r="E8" s="33" t="str">
        <x:v>降低理解成本，帮助用户判断哪款/哪码/哪色适合自己。</x:v>
      </x:c>
      <x:c r="F8" s="33" t="str">
        <x:v>面料、材质、成分、颜色、尺码、版型、参数表、系列对比</x:v>
      </x:c>
      <x:c r="G8" s="33" t="str">
        <x:v>适合谁/不适合谁、场景推荐、身型/脚型建议、评论摘要</x:v>
      </x:c>
      <x:c r="H8" s="33" t="str">
        <x:v>结构化表格、图标卡片、选购对比矩阵</x:v>
      </x:c>
      <x:c r="I8" s="33" t="str">
        <x:v>基础信息；尺码/适配与对比选购</x:v>
      </x:c>
      <x:c r="J8" s="33" t="str">
        <x:v>信息结构表</x:v>
      </x:c>
    </x:row>
    <x:row r="9" ht="72" customHeight="1">
      <x:c r="A9" s="34" t="n">
        <x:v>6</x:v>
      </x:c>
      <x:c r="B9" s="34" t="str">
        <x:v>使用说明/服务事项</x:v>
      </x:c>
      <x:c r="C9" s="34" t="str">
        <x:v>1屏内</x:v>
      </x:c>
      <x:c r="D9" s="34" t="str">
        <x:v>通用</x:v>
      </x:c>
      <x:c r="E9" s="34" t="str">
        <x:v>解决临门一脚的风险顾虑。</x:v>
      </x:c>
      <x:c r="F9" s="34" t="str">
        <x:v>护理、保养、洗涤、退换、配送、售后、注意事项</x:v>
      </x:c>
      <x:c r="G9" s="34" t="str">
        <x:v>FAQ、品类特殊说明、防水/保温/安全提示、儿童用品安全说明</x:v>
      </x:c>
      <x:c r="H9" s="34" t="str">
        <x:v>服务承诺卡、护理说明卡</x:v>
      </x:c>
      <x:c r="I9" s="34" t="str">
        <x:v>使用说明/服务事项</x:v>
      </x:c>
      <x:c r="J9" s="34" t="str">
        <x:v>服务FAQ</x:v>
      </x:c>
    </x:row>
    <x:row r="10" ht="72" customHeight="1">
      <x:c r="A10" s="33" t="n">
        <x:v>7</x:v>
      </x:c>
      <x:c r="B10" s="33" t="str">
        <x:v>关联推荐</x:v>
      </x:c>
      <x:c r="C10" s="33" t="str">
        <x:v>1屏内</x:v>
      </x:c>
      <x:c r="D10" s="33" t="str">
        <x:v>进阶</x:v>
      </x:c>
      <x:c r="E10" s="33" t="str">
        <x:v>把单品购买扩展为搭配、系列和场景购买。</x:v>
      </x:c>
      <x:c r="F10" s="33" t="str">
        <x:v>同系列、同场景、搭配、配件、套装、亲子/儿童组合</x:v>
      </x:c>
      <x:c r="G10" s="33" t="str">
        <x:v>人群化推荐、风格化推荐、内容电商笔记入口</x:v>
      </x:c>
      <x:c r="H10" s="33" t="str">
        <x:v>系列推荐、穿搭推荐、场景货架</x:v>
      </x:c>
      <x:c r="I10" s="33" t="str">
        <x:v>关联推荐/延展购买</x:v>
      </x:c>
      <x:c r="J10" s="33" t="str">
        <x:v>推荐规则</x:v>
      </x:c>
    </x:row>
    <x:row r="11" ht="72" customHeight="1">
      <x:c r="A11" s="34" t="n">
        <x:v>8</x:v>
      </x:c>
      <x:c r="B11" s="34" t="str">
        <x:v>品牌/产品背书</x:v>
      </x:c>
      <x:c r="C11" s="34" t="str">
        <x:v>0.5-1屏</x:v>
      </x:c>
      <x:c r="D11" s="34" t="str">
        <x:v>进阶</x:v>
      </x:c>
      <x:c r="E11" s="34" t="str">
        <x:v>用可信证据支撑价值感和溢价。</x:v>
      </x:c>
      <x:c r="F11" s="34" t="str">
        <x:v>认证、奖项、科技来源、运动员/机构、品牌历史、用户口碑</x:v>
      </x:c>
      <x:c r="G11" s="34" t="str">
        <x:v>赛事/专业机构合作、儿童安全标准、可持续材料证明</x:v>
      </x:c>
      <x:c r="H11" s="34" t="str">
        <x:v>品牌资产页、认证墙、科技来源说明</x:v>
      </x:c>
      <x:c r="I11" s="34" t="str">
        <x:v>品牌/产品背书</x:v>
      </x:c>
      <x:c r="J11" s="34" t="str">
        <x:v>背书证据库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24.440000534057617" hidden="0" customWidth="1"/>
    <x:col min="3" max="3" width="33.33000183105469" hidden="0" customWidth="1"/>
    <x:col min="4" max="4" width="31.110000610351562" hidden="0" customWidth="1"/>
    <x:col min="5" max="5" width="28.889999389648438" hidden="0" customWidth="1"/>
    <x:col min="6" max="6" width="25.559999465942383" hidden="0" customWidth="1"/>
    <x:col min="7" max="7" width="26.670000076293945" hidden="0" customWidth="1"/>
    <x:col min="8" max="8" width="24.440000534057617" hidden="0" customWidth="1"/>
    <x:col min="9" max="9" width="24.440000534057617" hidden="0" customWidth="1"/>
  </x:cols>
  <x:sheetData>
    <x:row r="1" ht="33" customHeight="1">
      <x:c r="A1" s="39" t="str">
        <x:v>模块结构定义 | 每个模块必须回答一个购买问题</x:v>
      </x:c>
      <x:c r="B1" s="39" t="str">
        <x:v>模块结构定义 | 每个模块必须回答一个购买问题</x:v>
      </x:c>
      <x:c r="C1" s="39" t="str">
        <x:v>模块结构定义 | 每个模块必须回答一个购买问题</x:v>
      </x:c>
      <x:c r="D1" s="39" t="str">
        <x:v>模块结构定义 | 每个模块必须回答一个购买问题</x:v>
      </x:c>
      <x:c r="E1" s="39" t="str">
        <x:v>模块结构定义 | 每个模块必须回答一个购买问题</x:v>
      </x:c>
      <x:c r="F1" s="39" t="str">
        <x:v>模块结构定义 | 每个模块必须回答一个购买问题</x:v>
      </x:c>
      <x:c r="G1" s="39" t="str">
        <x:v>模块结构定义 | 每个模块必须回答一个购买问题</x:v>
      </x:c>
      <x:c r="H1" s="39" t="str">
        <x:v>模块结构定义 | 每个模块必须回答一个购买问题</x:v>
      </x:c>
      <x:c r="I1" s="39" t="str">
        <x:v>模块结构定义 | 每个模块必须回答一个购买问题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</x:row>
    <x:row r="3">
      <x:c r="A3" s="41" t="str">
        <x:v>模块</x:v>
      </x:c>
      <x:c r="B3" s="41" t="str">
        <x:v>用户问题</x:v>
      </x:c>
      <x:c r="C3" s="41" t="str">
        <x:v>品牌表达</x:v>
      </x:c>
      <x:c r="D3" s="41" t="str">
        <x:v>商业转化任务</x:v>
      </x:c>
      <x:c r="E3" s="41" t="str">
        <x:v>视觉创意任务</x:v>
      </x:c>
      <x:c r="F3" s="41" t="str">
        <x:v>高分标准</x:v>
      </x:c>
      <x:c r="G3" s="41" t="str">
        <x:v>低分信号</x:v>
      </x:c>
      <x:c r="H3" s="41" t="str">
        <x:v>适用品类</x:v>
      </x:c>
      <x:c r="I3" s="41" t="str">
        <x:v>素材要求</x:v>
      </x:c>
    </x:row>
    <x:row r="4" ht="67.5" customHeight="1">
      <x:c r="A4" s="33" t="str">
        <x:v>封面故事/KV</x:v>
      </x:c>
      <x:c r="B4" s="33" t="str">
        <x:v>这款商品是谁？为什么值得看？</x:v>
      </x:c>
      <x:c r="C4" s="33" t="str">
        <x:v>产品主张、系列资产、品牌识别</x:v>
      </x:c>
      <x:c r="D4" s="33" t="str">
        <x:v>提升停留和继续浏览意愿</x:v>
      </x:c>
      <x:c r="E4" s="33" t="str">
        <x:v>用一张强主视觉完成定位</x:v>
      </x:c>
      <x:c r="F4" s="33" t="str">
        <x:v>一眼识别产品、场景、人群、卖点</x:v>
      </x:c>
      <x:c r="G4" s="33" t="str">
        <x:v>首屏像普通货架图，没有记忆点</x:v>
      </x:c>
      <x:c r="H4" s="33" t="str">
        <x:v>鞋服、箱包、美妆、3C</x:v>
      </x:c>
      <x:c r="I4" s="33" t="str">
        <x:v>产品图、模特图、场景图、logo、短卖点</x:v>
      </x:c>
    </x:row>
    <x:row r="5" ht="67.5" customHeight="1">
      <x:c r="A5" s="34" t="str">
        <x:v>沉浸式购物/场景化</x:v>
      </x:c>
      <x:c r="B5" s="34" t="str">
        <x:v>我穿/用起来是什么样？</x:v>
      </x:c>
      <x:c r="C5" s="34" t="str">
        <x:v>生活方式、运动精神、风格态度</x:v>
      </x:c>
      <x:c r="D5" s="34" t="str">
        <x:v>提升停留、收藏、加购</x:v>
      </x:c>
      <x:c r="E5" s="34" t="str">
        <x:v>用场景建立代入和欲望</x:v>
      </x:c>
      <x:c r="F5" s="34" t="str">
        <x:v>场景真实、人物比例清楚、与卖点相关</x:v>
      </x:c>
      <x:c r="G5" s="34" t="str">
        <x:v>只有摆拍或白底图，无法想象使用</x:v>
      </x:c>
      <x:c r="H5" s="34" t="str">
        <x:v>运动户外、品牌服饰、儿童服饰</x:v>
      </x:c>
      <x:c r="I5" s="34" t="str">
        <x:v>模特全身图、产品场景图、场景分镜</x:v>
      </x:c>
    </x:row>
    <x:row r="6" ht="67.5" customHeight="1">
      <x:c r="A6" s="33" t="str">
        <x:v>卖点与功能证明</x:v>
      </x:c>
      <x:c r="B6" s="33" t="str">
        <x:v>它到底好在哪里？凭什么？</x:v>
      </x:c>
      <x:c r="C6" s="33" t="str">
        <x:v>科技、工艺、设计理念</x:v>
      </x:c>
      <x:c r="D6" s="33" t="str">
        <x:v>降低认知门槛，强化价格理由</x:v>
      </x:c>
      <x:c r="E6" s="33" t="str">
        <x:v>把复杂功能视觉化</x:v>
      </x:c>
      <x:c r="F6" s="33" t="str">
        <x:v>卖点排序清晰，有证据和图解</x:v>
      </x:c>
      <x:c r="G6" s="33" t="str">
        <x:v>只写参数或口号，缺少证明</x:v>
      </x:c>
      <x:c r="H6" s="33" t="str">
        <x:v>鞋服、3C、健康保健</x:v>
      </x:c>
      <x:c r="I6" s="33" t="str">
        <x:v>科技图、结构图、对比图、测试证据</x:v>
      </x:c>
    </x:row>
    <x:row r="7" ht="67.5" customHeight="1">
      <x:c r="A7" s="34" t="str">
        <x:v>细节查阅</x:v>
      </x:c>
      <x:c r="B7" s="34" t="str">
        <x:v>细节品质、颜色、角度我看清了吗？</x:v>
      </x:c>
      <x:c r="C7" s="34" t="str">
        <x:v>产品质感、工艺细节</x:v>
      </x:c>
      <x:c r="D7" s="34" t="str">
        <x:v>减少跳失和售前咨询</x:v>
      </x:c>
      <x:c r="E7" s="34" t="str">
        <x:v>把细节变成可比较信息</x:v>
      </x:c>
      <x:c r="F7" s="34" t="str">
        <x:v>多角度、多颜色、关键局部完整</x:v>
      </x:c>
      <x:c r="G7" s="34" t="str">
        <x:v>图多但不解决关键疑问</x:v>
      </x:c>
      <x:c r="H7" s="34" t="str">
        <x:v>全品类</x:v>
      </x:c>
      <x:c r="I7" s="34" t="str">
        <x:v>白底/纯色底、多角度、局部特写</x:v>
      </x:c>
    </x:row>
    <x:row r="8" ht="67.5" customHeight="1">
      <x:c r="A8" s="33" t="str">
        <x:v>尺码/适配与对比选购</x:v>
      </x:c>
      <x:c r="B8" s="33" t="str">
        <x:v>我该买哪码/哪款？</x:v>
      </x:c>
      <x:c r="C8" s="33" t="str">
        <x:v>专业顾问感</x:v>
      </x:c>
      <x:c r="D8" s="33" t="str">
        <x:v>减少犹豫、退货和咨询</x:v>
      </x:c>
      <x:c r="E8" s="33" t="str">
        <x:v>用图表和建议降低选择成本</x:v>
      </x:c>
      <x:c r="F8" s="33" t="str">
        <x:v>有测量、版型、适合人群、系列对比</x:v>
      </x:c>
      <x:c r="G8" s="33" t="str">
        <x:v>只有通用尺码表</x:v>
      </x:c>
      <x:c r="H8" s="33" t="str">
        <x:v>鞋服、儿童服饰、箱包</x:v>
      </x:c>
      <x:c r="I8" s="33" t="str">
        <x:v>尺码表、测量图、评论摘要、对比矩阵</x:v>
      </x:c>
    </x:row>
    <x:row r="9" ht="67.5" customHeight="1">
      <x:c r="A9" s="34" t="str">
        <x:v>基础信息</x:v>
      </x:c>
      <x:c r="B9" s="34" t="str">
        <x:v>材质、成分、规格是否清楚？</x:v>
      </x:c>
      <x:c r="C9" s="34" t="str">
        <x:v>透明、专业、可信</x:v>
      </x:c>
      <x:c r="D9" s="34" t="str">
        <x:v>建立信息底座</x:v>
      </x:c>
      <x:c r="E9" s="34" t="str">
        <x:v>结构化、图标化、可扫读</x:v>
      </x:c>
      <x:c r="F9" s="34" t="str">
        <x:v>重要信息完整且易扫读</x:v>
      </x:c>
      <x:c r="G9" s="34" t="str">
        <x:v>大段文字、位置分散、不可比较</x:v>
      </x:c>
      <x:c r="H9" s="34" t="str">
        <x:v>全品类</x:v>
      </x:c>
      <x:c r="I9" s="34" t="str">
        <x:v>参数、材质、颜色、成分、包装</x:v>
      </x:c>
    </x:row>
    <x:row r="10" ht="67.5" customHeight="1">
      <x:c r="A10" s="33" t="str">
        <x:v>使用说明/服务事项</x:v>
      </x:c>
      <x:c r="B10" s="33" t="str">
        <x:v>买后怎么用？有风险吗？</x:v>
      </x:c>
      <x:c r="C10" s="33" t="str">
        <x:v>可靠、负责、服务感</x:v>
      </x:c>
      <x:c r="D10" s="33" t="str">
        <x:v>降低临门一脚顾虑</x:v>
      </x:c>
      <x:c r="E10" s="33" t="str">
        <x:v>服务信息卡片化</x:v>
      </x:c>
      <x:c r="F10" s="33" t="str">
        <x:v>能解决品类具体风险</x:v>
      </x:c>
      <x:c r="G10" s="33" t="str">
        <x:v>只有平台通用服务</x:v>
      </x:c>
      <x:c r="H10" s="33" t="str">
        <x:v>儿童、户外、健康、奢品</x:v>
      </x:c>
      <x:c r="I10" s="33" t="str">
        <x:v>护理、洗涤、保养、退换、售后</x:v>
      </x:c>
    </x:row>
    <x:row r="11" ht="67.5" customHeight="1">
      <x:c r="A11" s="34" t="str">
        <x:v>关联推荐/延展购买</x:v>
      </x:c>
      <x:c r="B11" s="34" t="str">
        <x:v>还有什么适合我一起买？</x:v>
      </x:c>
      <x:c r="C11" s="34" t="str">
        <x:v>系列完整度、生活方式</x:v>
      </x:c>
      <x:c r="D11" s="34" t="str">
        <x:v>提升客单和连带</x:v>
      </x:c>
      <x:c r="E11" s="34" t="str">
        <x:v>把推荐做成场景货架</x:v>
      </x:c>
      <x:c r="F11" s="34" t="str">
        <x:v>推荐有理由、有场景、有搭配</x:v>
      </x:c>
      <x:c r="G11" s="34" t="str">
        <x:v>只是商品堆叠</x:v>
      </x:c>
      <x:c r="H11" s="34" t="str">
        <x:v>服饰、运动、亲子、箱包美妆</x:v>
      </x:c>
      <x:c r="I11" s="34" t="str">
        <x:v>同系列、套装、搭配、配件</x:v>
      </x:c>
    </x:row>
    <x:row r="12" ht="67.5" customHeight="1">
      <x:c r="A12" s="33" t="str">
        <x:v>品牌/产品背书</x:v>
      </x:c>
      <x:c r="B12" s="33" t="str">
        <x:v>我为什么相信它？</x:v>
      </x:c>
      <x:c r="C12" s="33" t="str">
        <x:v>品牌资产、专业权威、价值观</x:v>
      </x:c>
      <x:c r="D12" s="33" t="str">
        <x:v>支撑溢价和信任</x:v>
      </x:c>
      <x:c r="E12" s="33" t="str">
        <x:v>把证据做成品牌资产</x:v>
      </x:c>
      <x:c r="F12" s="33" t="str">
        <x:v>证据具体可信，可验证</x:v>
      </x:c>
      <x:c r="G12" s="33" t="str">
        <x:v>只有空泛口号</x:v>
      </x:c>
      <x:c r="H12" s="33" t="str">
        <x:v>高端奢品、运动科技、儿童、健康</x:v>
      </x:c>
      <x:c r="I12" s="33" t="str">
        <x:v>认证、奖项、机构、运动员、历史资产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8.889999389648438" hidden="0" customWidth="1"/>
    <x:col min="4" max="4" width="33.33000183105469" hidden="0" customWidth="1"/>
    <x:col min="5" max="5" width="31.110000610351562" hidden="0" customWidth="1"/>
    <x:col min="6" max="6" width="28.889999389648438" hidden="0" customWidth="1"/>
    <x:col min="7" max="7" width="24.440000534057617" hidden="0" customWidth="1"/>
    <x:col min="8" max="8" width="22.219999313354492" hidden="0" customWidth="1"/>
  </x:cols>
  <x:sheetData>
    <x:row r="1" ht="33" customHeight="1">
      <x:c r="A1" s="39" t="str">
        <x:v>汇报页模板 | 先讲结论，再讲证据，最后讲动作</x:v>
      </x:c>
      <x:c r="B1" s="39" t="str">
        <x:v>汇报页模板 | 先讲结论，再讲证据，最后讲动作</x:v>
      </x:c>
      <x:c r="C1" s="39" t="str">
        <x:v>汇报页模板 | 先讲结论，再讲证据，最后讲动作</x:v>
      </x:c>
      <x:c r="D1" s="39" t="str">
        <x:v>汇报页模板 | 先讲结论，再讲证据，最后讲动作</x:v>
      </x:c>
      <x:c r="E1" s="39" t="str">
        <x:v>汇报页模板 | 先讲结论，再讲证据，最后讲动作</x:v>
      </x:c>
      <x:c r="F1" s="39" t="str">
        <x:v>汇报页模板 | 先讲结论，再讲证据，最后讲动作</x:v>
      </x:c>
      <x:c r="G1" s="39" t="str">
        <x:v>汇报页模板 | 先讲结论，再讲证据，最后讲动作</x:v>
      </x:c>
      <x:c r="H1" s="39" t="str">
        <x:v>汇报页模板 | 先讲结论，再讲证据，最后讲动作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页序</x:v>
      </x:c>
      <x:c r="B3" s="41" t="str">
        <x:v>页面名称</x:v>
      </x:c>
      <x:c r="C3" s="41" t="str">
        <x:v>核心结论</x:v>
      </x:c>
      <x:c r="D3" s="41" t="str">
        <x:v>建议内容</x:v>
      </x:c>
      <x:c r="E3" s="41" t="str">
        <x:v>证据来源</x:v>
      </x:c>
      <x:c r="F3" s="41" t="str">
        <x:v>视觉呈现方式</x:v>
      </x:c>
      <x:c r="G3" s="41" t="str">
        <x:v>决策对象</x:v>
      </x:c>
      <x:c r="H3" s="41" t="str">
        <x:v>输出目的</x:v>
      </x:c>
    </x:row>
    <x:row r="4" ht="61.5" customHeight="1">
      <x:c r="A4" s="33" t="n">
        <x:v>1</x:v>
      </x:c>
      <x:c r="B4" s="33" t="str">
        <x:v>诊断结论页</x:v>
      </x:c>
      <x:c r="C4" s="33" t="str">
        <x:v>当前页面处于几星，最大缺口是什么。</x:v>
      </x:c>
      <x:c r="D4" s="33" t="str">
        <x:v>总分、星级、前三个问题、三条改版方向</x:v>
      </x:c>
      <x:c r="E4" s="33" t="str">
        <x:v>评分总表</x:v>
      </x:c>
      <x:c r="F4" s="33" t="str">
        <x:v>大数字+三段式结论</x:v>
      </x:c>
      <x:c r="G4" s="33" t="str">
        <x:v>老板/业务负责人</x:v>
      </x:c>
      <x:c r="H4" s="33" t="str">
        <x:v>快速对齐问题优先级</x:v>
      </x:c>
    </x:row>
    <x:row r="5" ht="61.5" customHeight="1">
      <x:c r="A5" s="34" t="n">
        <x:v>2</x:v>
      </x:c>
      <x:c r="B5" s="34" t="str">
        <x:v>素材能力页</x:v>
      </x:c>
      <x:c r="C5" s="34" t="str">
        <x:v>素材类型决定页面星级上限。</x:v>
      </x:c>
      <x:c r="D5" s="34" t="str">
        <x:v>白底图、场景图、模特图、特殊创意素材与星级关系</x:v>
      </x:c>
      <x:c r="E5" s="34" t="str">
        <x:v>汇报页面参考.pdf</x:v>
      </x:c>
      <x:c r="F5" s="34" t="str">
        <x:v>素材矩阵+星级阶梯</x:v>
      </x:c>
      <x:c r="G5" s="34" t="str">
        <x:v>设计/商品/拍摄团队</x:v>
      </x:c>
      <x:c r="H5" s="34" t="str">
        <x:v>明确素材投入价值</x:v>
      </x:c>
    </x:row>
    <x:row r="6" ht="61.5" customHeight="1">
      <x:c r="A6" s="33" t="n">
        <x:v>3</x:v>
      </x:c>
      <x:c r="B6" s="33" t="str">
        <x:v>模块缺口页</x:v>
      </x:c>
      <x:c r="C6" s="33" t="str">
        <x:v>不是页面短，而是决策信息密度不足。</x:v>
      </x:c>
      <x:c r="D6" s="33" t="str">
        <x:v>各模块得分、缺失项、影响用户问题</x:v>
      </x:c>
      <x:c r="E6" s="33" t="str">
        <x:v>评分细则/页面截图</x:v>
      </x:c>
      <x:c r="F6" s="33" t="str">
        <x:v>热力矩阵+截图批注</x:v>
      </x:c>
      <x:c r="G6" s="33" t="str">
        <x:v>UX/设计团队</x:v>
      </x:c>
      <x:c r="H6" s="33" t="str">
        <x:v>定位具体改版点</x:v>
      </x:c>
    </x:row>
    <x:row r="7" ht="61.5" customHeight="1">
      <x:c r="A7" s="34" t="n">
        <x:v>4</x:v>
      </x:c>
      <x:c r="B7" s="34" t="str">
        <x:v>页面结构页</x:v>
      </x:c>
      <x:c r="C7" s="34" t="str">
        <x:v>PDP需要购买叙事，不是素材堆叠。</x:v>
      </x:c>
      <x:c r="D7" s="34" t="str">
        <x:v>封面-沉浸-卖点-细节-信息-服务-推荐-背书</x:v>
      </x:c>
      <x:c r="E7" s="34" t="str">
        <x:v>参考.pdf</x:v>
      </x:c>
      <x:c r="F7" s="34" t="str">
        <x:v>模块流图/长页结构图</x:v>
      </x:c>
      <x:c r="G7" s="34" t="str">
        <x:v>设计/内容团队</x:v>
      </x:c>
      <x:c r="H7" s="34" t="str">
        <x:v>形成页面骨架</x:v>
      </x:c>
    </x:row>
    <x:row r="8" ht="61.5" customHeight="1">
      <x:c r="A8" s="33" t="n">
        <x:v>5</x:v>
      </x:c>
      <x:c r="B8" s="33" t="str">
        <x:v>改版策略页</x:v>
      </x:c>
      <x:c r="C8" s="33" t="str">
        <x:v>先补高权重缺口，再做创意增强。</x:v>
      </x:c>
      <x:c r="D8" s="33" t="str">
        <x:v>P0/P1/P2动作、所需素材、负责人</x:v>
      </x:c>
      <x:c r="E8" s="33" t="str">
        <x:v>走查输出模板</x:v>
      </x:c>
      <x:c r="F8" s="33" t="str">
        <x:v>优先级表</x:v>
      </x:c>
      <x:c r="G8" s="33" t="str">
        <x:v>项目团队</x:v>
      </x:c>
      <x:c r="H8" s="33" t="str">
        <x:v>推动执行</x:v>
      </x:c>
    </x:row>
    <x:row r="9" ht="61.5" customHeight="1">
      <x:c r="A9" s="34" t="n">
        <x:v>6</x:v>
      </x:c>
      <x:c r="B9" s="34" t="str">
        <x:v>验证复盘页</x:v>
      </x:c>
      <x:c r="C9" s="34" t="str">
        <x:v>改版必须用指标证明。</x:v>
      </x:c>
      <x:c r="D9" s="34" t="str">
        <x:v>支付转化、加购、停留、模块点击、售后风险</x:v>
      </x:c>
      <x:c r="E9" s="34" t="str">
        <x:v>验证指标</x:v>
      </x:c>
      <x:c r="F9" s="34" t="str">
        <x:v>指标看板</x:v>
      </x:c>
      <x:c r="G9" s="34" t="str">
        <x:v>运营/数据团队</x:v>
      </x:c>
      <x:c r="H9" s="34" t="str">
        <x:v>建立复盘闭环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4.4399995803833" hidden="0" customWidth="1"/>
    <x:col min="3" max="3" width="27.780000686645508" hidden="0" customWidth="1"/>
    <x:col min="4" max="4" width="33.33000183105469" hidden="0" customWidth="1"/>
    <x:col min="5" max="5" width="28.889999389648438" hidden="0" customWidth="1"/>
    <x:col min="6" max="6" width="24.440000534057617" hidden="0" customWidth="1"/>
    <x:col min="7" max="7" width="24.440000534057617" hidden="0" customWidth="1"/>
    <x:col min="8" max="8" width="24.440000534057617" hidden="0" customWidth="1"/>
  </x:cols>
  <x:sheetData>
    <x:row r="1" ht="33" customHeight="1">
      <x:c r="A1" s="39" t="str">
        <x:v>素材星级映射 | 素材不是装饰，是星级上限</x:v>
      </x:c>
      <x:c r="B1" s="39" t="str">
        <x:v>素材星级映射 | 素材不是装饰，是星级上限</x:v>
      </x:c>
      <x:c r="C1" s="39" t="str">
        <x:v>素材星级映射 | 素材不是装饰，是星级上限</x:v>
      </x:c>
      <x:c r="D1" s="39" t="str">
        <x:v>素材星级映射 | 素材不是装饰，是星级上限</x:v>
      </x:c>
      <x:c r="E1" s="39" t="str">
        <x:v>素材星级映射 | 素材不是装饰，是星级上限</x:v>
      </x:c>
      <x:c r="F1" s="39" t="str">
        <x:v>素材星级映射 | 素材不是装饰，是星级上限</x:v>
      </x:c>
      <x:c r="G1" s="39" t="str">
        <x:v>素材星级映射 | 素材不是装饰，是星级上限</x:v>
      </x:c>
      <x:c r="H1" s="39" t="str">
        <x:v>素材星级映射 | 素材不是装饰，是星级上限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素材类型</x:v>
      </x:c>
      <x:c r="B3" s="41" t="str">
        <x:v>支持星级</x:v>
      </x:c>
      <x:c r="C3" s="41" t="str">
        <x:v>能解决的问题</x:v>
      </x:c>
      <x:c r="D3" s="41" t="str">
        <x:v>适合模块</x:v>
      </x:c>
      <x:c r="E3" s="41" t="str">
        <x:v>高分用法</x:v>
      </x:c>
      <x:c r="F3" s="41" t="str">
        <x:v>低效用法</x:v>
      </x:c>
      <x:c r="G3" s="41" t="str">
        <x:v>优先级</x:v>
      </x:c>
      <x:c r="H3" s="41" t="str">
        <x:v>备注</x:v>
      </x:c>
    </x:row>
    <x:row r="4" ht="63" customHeight="1">
      <x:c r="A4" s="33" t="str">
        <x:v>产品白/纯色底图</x:v>
      </x:c>
      <x:c r="B4" s="33" t="str">
        <x:v>5星</x:v>
      </x:c>
      <x:c r="C4" s="33" t="str">
        <x:v>识别、颜色、角度、细节、基础信息</x:v>
      </x:c>
      <x:c r="D4" s="33" t="str">
        <x:v>细节查阅、基础信息、封面KV</x:v>
      </x:c>
      <x:c r="E4" s="33" t="str">
        <x:v>多角度+局部细节+颜色矩阵，服务比较和信任</x:v>
      </x:c>
      <x:c r="F4" s="33" t="str">
        <x:v>只堆白底图，没有卖点解释</x:v>
      </x:c>
      <x:c r="G4" s="33" t="str">
        <x:v>A</x:v>
      </x:c>
      <x:c r="H4" s="33" t="str">
        <x:v>行业平均页的基础素材</x:v>
      </x:c>
    </x:row>
    <x:row r="5" ht="63" customHeight="1">
      <x:c r="A5" s="34" t="str">
        <x:v>产品场景图</x:v>
      </x:c>
      <x:c r="B5" s="34" t="str">
        <x:v>5.5星</x:v>
      </x:c>
      <x:c r="C5" s="34" t="str">
        <x:v>使用语境、氛围、功能场景</x:v>
      </x:c>
      <x:c r="D5" s="34" t="str">
        <x:v>沉浸式购物、卖点证明</x:v>
      </x:c>
      <x:c r="E5" s="34" t="str">
        <x:v>让场景和卖点绑定，例如缓震、防水、通勤、户外</x:v>
      </x:c>
      <x:c r="F5" s="34" t="str">
        <x:v>只有背景氛围，不解释产品价值</x:v>
      </x:c>
      <x:c r="G5" s="34" t="str">
        <x:v>B</x:v>
      </x:c>
      <x:c r="H5" s="34" t="str">
        <x:v>可提升代入感</x:v>
      </x:c>
    </x:row>
    <x:row r="6" ht="63" customHeight="1">
      <x:c r="A6" s="33" t="str">
        <x:v>模特场景图</x:v>
      </x:c>
      <x:c r="B6" s="33" t="str">
        <x:v>5.5星</x:v>
      </x:c>
      <x:c r="C6" s="33" t="str">
        <x:v>上身/上脚效果、比例、穿搭、亲子/儿童使用感</x:v>
      </x:c>
      <x:c r="D6" s="33" t="str">
        <x:v>沉浸式购物、尺码适配、关联推荐</x:v>
      </x:c>
      <x:c r="E6" s="33" t="str">
        <x:v>全身图+动作状态+场景穿搭，降低想象成本</x:v>
      </x:c>
      <x:c r="F6" s="33" t="str">
        <x:v>局部摆拍、人物被裁切、无法看比例</x:v>
      </x:c>
      <x:c r="G6" s="33" t="str">
        <x:v>S</x:v>
      </x:c>
      <x:c r="H6" s="33" t="str">
        <x:v>服饰和鞋类优先级最高</x:v>
      </x:c>
    </x:row>
    <x:row r="7" ht="63" customHeight="1">
      <x:c r="A7" s="34" t="str">
        <x:v>特殊创意素材</x:v>
      </x:c>
      <x:c r="B7" s="34" t="str">
        <x:v>6星</x:v>
      </x:c>
      <x:c r="C7" s="34" t="str">
        <x:v>科技、结构、记忆点、品牌化表达</x:v>
      </x:c>
      <x:c r="D7" s="34" t="str">
        <x:v>产品互动、卖点证明、品牌背书</x:v>
      </x:c>
      <x:c r="E7" s="34" t="str">
        <x:v>爆炸图、手绘图、科技图、动效帧服务核心卖点</x:v>
      </x:c>
      <x:c r="F7" s="34" t="str">
        <x:v>创意漂亮但和卖点无关</x:v>
      </x:c>
      <x:c r="G7" s="34" t="str">
        <x:v>C</x:v>
      </x:c>
      <x:c r="H7" s="34" t="str">
        <x:v>决定高阶页上限</x:v>
      </x:c>
    </x:row>
    <x:row r="8" ht="63" customHeight="1">
      <x:c r="A8" s="33" t="str">
        <x:v>组合素材系统</x:v>
      </x:c>
      <x:c r="B8" s="33" t="str">
        <x:v>6-7星</x:v>
      </x:c>
      <x:c r="C8" s="33" t="str">
        <x:v>购买叙事完整、素材可复用、内容效率提升</x:v>
      </x:c>
      <x:c r="D8" s="33" t="str">
        <x:v>全链路模块</x:v>
      </x:c>
      <x:c r="E8" s="33" t="str">
        <x:v>白底+场景+模特+创意+背书组合，按模块模板复用</x:v>
      </x:c>
      <x:c r="F8" s="33" t="str">
        <x:v>素材多但无结构，页面变长不变强</x:v>
      </x:c>
      <x:c r="G8" s="33" t="str">
        <x:v>S</x:v>
      </x:c>
      <x:c r="H8" s="33" t="str">
        <x:v>适合建立品牌PDP资产库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.5600004196167" hidden="0" customWidth="1"/>
    <x:col min="3" max="3" width="16.670000076293945" hidden="0" customWidth="1"/>
    <x:col min="4" max="4" width="28.889999389648438" hidden="0" customWidth="1"/>
    <x:col min="5" max="5" width="26.670000076293945" hidden="0" customWidth="1"/>
    <x:col min="6" max="6" width="31.110000610351562" hidden="0" customWidth="1"/>
    <x:col min="7" max="7" width="25.559999465942383" hidden="0" customWidth="1"/>
    <x:col min="8" max="8" width="20" hidden="0" customWidth="1"/>
    <x:col min="9" max="9" width="17.780000686645508" hidden="0" customWidth="1"/>
    <x:col min="10" max="10" width="18.889999389648438" hidden="0" customWidth="1"/>
  </x:cols>
  <x:sheetData>
    <x:row r="1" ht="33" customHeight="1">
      <x:c r="A1" s="39" t="str">
        <x:v>走查输出模板 | 从问题到素材到验证</x:v>
      </x:c>
      <x:c r="B1" s="39" t="str">
        <x:v>走查输出模板 | 从问题到素材到验证</x:v>
      </x:c>
      <x:c r="C1" s="39" t="str">
        <x:v>走查输出模板 | 从问题到素材到验证</x:v>
      </x:c>
      <x:c r="D1" s="39" t="str">
        <x:v>走查输出模板 | 从问题到素材到验证</x:v>
      </x:c>
      <x:c r="E1" s="39" t="str">
        <x:v>走查输出模板 | 从问题到素材到验证</x:v>
      </x:c>
      <x:c r="F1" s="39" t="str">
        <x:v>走查输出模板 | 从问题到素材到验证</x:v>
      </x:c>
      <x:c r="G1" s="39" t="str">
        <x:v>走查输出模板 | 从问题到素材到验证</x:v>
      </x:c>
      <x:c r="H1" s="39" t="str">
        <x:v>走查输出模板 | 从问题到素材到验证</x:v>
      </x:c>
      <x:c r="I1" s="39" t="str">
        <x:v>走查输出模板 | 从问题到素材到验证</x:v>
      </x:c>
      <x:c r="J1" s="39" t="str">
        <x:v>走查输出模板 | 从问题到素材到验证</x:v>
      </x:c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</x:row>
    <x:row r="3">
      <x:c r="A3" s="41" t="str">
        <x:v>优先级</x:v>
      </x:c>
      <x:c r="B3" s="41" t="str">
        <x:v>页面位置</x:v>
      </x:c>
      <x:c r="C3" s="41" t="str">
        <x:v>所属模块</x:v>
      </x:c>
      <x:c r="D3" s="41" t="str">
        <x:v>问题描述</x:v>
      </x:c>
      <x:c r="E3" s="41" t="str">
        <x:v>影响用户决策</x:v>
      </x:c>
      <x:c r="F3" s="41" t="str">
        <x:v>改进建议</x:v>
      </x:c>
      <x:c r="G3" s="41" t="str">
        <x:v>所需素材/数据</x:v>
      </x:c>
      <x:c r="H3" s="41" t="str">
        <x:v>负责人</x:v>
      </x:c>
      <x:c r="I3" s="41" t="str">
        <x:v>验证指标</x:v>
      </x:c>
      <x:c r="J3" s="41" t="str">
        <x:v>状态</x:v>
      </x:c>
    </x:row>
    <x:row r="4" ht="64.5" customHeight="1">
      <x:c r="A4" s="43" t="str">
        <x:v>P0</x:v>
      </x:c>
      <x:c r="B4" s="33" t="str">
        <x:v>首屏</x:v>
      </x:c>
      <x:c r="C4" s="33" t="str">
        <x:v>封面故事/KV</x:v>
      </x:c>
      <x:c r="D4" s="33" t="str">
        <x:v>首屏未在3秒内讲清产品主张。</x:v>
      </x:c>
      <x:c r="E4" s="33" t="str">
        <x:v>用户不知道为什么继续看。</x:v>
      </x:c>
      <x:c r="F4" s="33" t="str">
        <x:v>重做KV：产品名+系列名+核心卖点+主视觉。</x:v>
      </x:c>
      <x:c r="G4" s="33" t="str">
        <x:v>产品主图、模特/场景图、核心卖点</x:v>
      </x:c>
      <x:c r="H4" s="33" t="str">
        <x:v>设计/商品</x:v>
      </x:c>
      <x:c r="I4" s="33" t="str">
        <x:v>首屏停留、详情展开</x:v>
      </x:c>
      <x:c r="J4" s="33" t="str">
        <x:v>待处理</x:v>
      </x:c>
    </x:row>
    <x:row r="5" ht="64.5" customHeight="1">
      <x:c r="A5" s="44" t="str">
        <x:v>P0</x:v>
      </x:c>
      <x:c r="B5" s="34" t="str">
        <x:v>卖点区</x:v>
      </x:c>
      <x:c r="C5" s="34" t="str">
        <x:v>卖点与功能证明</x:v>
      </x:c>
      <x:c r="D5" s="34" t="str">
        <x:v>卖点只是参数，缺少视觉证据。</x:v>
      </x:c>
      <x:c r="E5" s="34" t="str">
        <x:v>用户不相信或看不懂价值。</x:v>
      </x:c>
      <x:c r="F5" s="34" t="str">
        <x:v>按核心卖点排序，补结构图/对比图/测试证据。</x:v>
      </x:c>
      <x:c r="G5" s="34" t="str">
        <x:v>科技图、结构图、对比数据</x:v>
      </x:c>
      <x:c r="H5" s="34" t="str">
        <x:v>设计/商品</x:v>
      </x:c>
      <x:c r="I5" s="34" t="str">
        <x:v>加购率、卖点区停留</x:v>
      </x:c>
      <x:c r="J5" s="34" t="str">
        <x:v>待处理</x:v>
      </x:c>
    </x:row>
    <x:row r="6" ht="64.5" customHeight="1">
      <x:c r="A6" s="43" t="str">
        <x:v>P0</x:v>
      </x:c>
      <x:c r="B6" s="33" t="str">
        <x:v>尺码区</x:v>
      </x:c>
      <x:c r="C6" s="33" t="str">
        <x:v>尺码/适配与对比选购</x:v>
      </x:c>
      <x:c r="D6" s="33" t="str">
        <x:v>只有尺码表，没有选码建议。</x:v>
      </x:c>
      <x:c r="E6" s="33" t="str">
        <x:v>用户害怕买错，咨询和退货风险高。</x:v>
      </x:c>
      <x:c r="F6" s="33" t="str">
        <x:v>补测量图、版型建议、评论摘要、适合人群。</x:v>
      </x:c>
      <x:c r="G6" s="33" t="str">
        <x:v>尺码数据、评价数据、测量图</x:v>
      </x:c>
      <x:c r="H6" s="33" t="str">
        <x:v>商品/运营</x:v>
      </x:c>
      <x:c r="I6" s="33" t="str">
        <x:v>尺码咨询率、退货率</x:v>
      </x:c>
      <x:c r="J6" s="33" t="str">
        <x:v>待处理</x:v>
      </x:c>
    </x:row>
    <x:row r="7" ht="64.5" customHeight="1">
      <x:c r="A7" s="44" t="str">
        <x:v>P1</x:v>
      </x:c>
      <x:c r="B7" s="34" t="str">
        <x:v>场景区</x:v>
      </x:c>
      <x:c r="C7" s="34" t="str">
        <x:v>沉浸式购物/场景化</x:v>
      </x:c>
      <x:c r="D7" s="34" t="str">
        <x:v>场景素材不足，无法建立穿着代入。</x:v>
      </x:c>
      <x:c r="E7" s="34" t="str">
        <x:v>用户看不到真实使用状态。</x:v>
      </x:c>
      <x:c r="F7" s="34" t="str">
        <x:v>补模特全身、运动/生活场景、亲子/儿童场景。</x:v>
      </x:c>
      <x:c r="G7" s="34" t="str">
        <x:v>模特场景图、场景脚本</x:v>
      </x:c>
      <x:c r="H7" s="34" t="str">
        <x:v>拍摄/设计</x:v>
      </x:c>
      <x:c r="I7" s="34" t="str">
        <x:v>停留时长、收藏率</x:v>
      </x:c>
      <x:c r="J7" s="34" t="str">
        <x:v>待处理</x:v>
      </x:c>
    </x:row>
    <x:row r="8" ht="64.5" customHeight="1">
      <x:c r="A8" s="43" t="str">
        <x:v>P1</x:v>
      </x:c>
      <x:c r="B8" s="33" t="str">
        <x:v>细节区</x:v>
      </x:c>
      <x:c r="C8" s="33" t="str">
        <x:v>细节查阅</x:v>
      </x:c>
      <x:c r="D8" s="33" t="str">
        <x:v>细节图没有解释功能和品质。</x:v>
      </x:c>
      <x:c r="E8" s="33" t="str">
        <x:v>用户不能判断材质、工艺和差异。</x:v>
      </x:c>
      <x:c r="F8" s="33" t="str">
        <x:v>补关键局部、颜色矩阵、多角度和标注。</x:v>
      </x:c>
      <x:c r="G8" s="33" t="str">
        <x:v>白底图、局部特写</x:v>
      </x:c>
      <x:c r="H8" s="33" t="str">
        <x:v>设计</x:v>
      </x:c>
      <x:c r="I8" s="33" t="str">
        <x:v>细节模块点击/停留</x:v>
      </x:c>
      <x:c r="J8" s="33" t="str">
        <x:v>待处理</x:v>
      </x:c>
    </x:row>
    <x:row r="9" ht="64.5" customHeight="1">
      <x:c r="A9" s="44" t="str">
        <x:v>P2</x:v>
      </x:c>
      <x:c r="B9" s="34" t="str">
        <x:v>页尾</x:v>
      </x:c>
      <x:c r="C9" s="34" t="str">
        <x:v>关联推荐/延展购买</x:v>
      </x:c>
      <x:c r="D9" s="34" t="str">
        <x:v>推荐只是商品堆叠，没有场景逻辑。</x:v>
      </x:c>
      <x:c r="E9" s="34" t="str">
        <x:v>连带购买弱，页尾价值低。</x:v>
      </x:c>
      <x:c r="F9" s="34" t="str">
        <x:v>按系列、搭配、场景、人群组织推荐。</x:v>
      </x:c>
      <x:c r="G9" s="34" t="str">
        <x:v>推荐规则、搭配素材</x:v>
      </x:c>
      <x:c r="H9" s="34" t="str">
        <x:v>运营/商品</x:v>
      </x:c>
      <x:c r="I9" s="34" t="str">
        <x:v>推荐点击率、客单价</x:v>
      </x:c>
      <x:c r="J9" s="34" t="str">
        <x:v>待处理</x:v>
      </x:c>
    </x:row>
  </x:sheetData>
  <x:mergeCells>
    <x:mergeCell ref="A1:J1"/>
  </x:mergeCells>
  <x:dataValidations count="2">
    <x:dataValidation allowBlank="1" sqref="A4:A9"/>
    <x:dataValidation allowBlank="1" sqref="J4:J9"/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7.780000686645508" hidden="0" customWidth="1"/>
    <x:col min="3" max="3" width="28.889999389648438" hidden="0" customWidth="1"/>
    <x:col min="4" max="4" width="28.889999389648438" hidden="0" customWidth="1"/>
    <x:col min="5" max="5" width="24.440000534057617" hidden="0" customWidth="1"/>
  </x:cols>
  <x:sheetData>
    <x:row r="1" ht="33" customHeight="1">
      <x:c r="A1" s="39" t="str">
        <x:v>验证指标 | 改版后如何证明有效</x:v>
      </x:c>
      <x:c r="B1" s="39" t="str">
        <x:v>验证指标 | 改版后如何证明有效</x:v>
      </x:c>
      <x:c r="C1" s="39" t="str">
        <x:v>验证指标 | 改版后如何证明有效</x:v>
      </x:c>
      <x:c r="D1" s="39" t="str">
        <x:v>验证指标 | 改版后如何证明有效</x:v>
      </x:c>
      <x:c r="E1" s="39" t="str">
        <x:v>验证指标 | 改版后如何证明有效</x:v>
      </x:c>
      <x:c r="F1" s="39" t="str">
        <x:v>验证指标 | 改版后如何证明有效</x:v>
      </x:c>
      <x:c r="G1" s="39" t="str">
        <x:v>验证指标 | 改版后如何证明有效</x:v>
      </x:c>
      <x:c r="H1" s="39" t="str">
        <x:v>验证指标 | 改版后如何证明有效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指标层级</x:v>
      </x:c>
      <x:c r="B3" s="41" t="str">
        <x:v>指标</x:v>
      </x:c>
      <x:c r="C3" s="41" t="str">
        <x:v>定义</x:v>
      </x:c>
      <x:c r="D3" s="41" t="str">
        <x:v>判断方式</x:v>
      </x:c>
      <x:c r="E3" s="41" t="str">
        <x:v>适用阶段</x:v>
      </x:c>
      <x:c r="F3" s="40"/>
      <x:c r="G3" s="40"/>
      <x:c r="H3" s="40"/>
    </x:row>
    <x:row r="4">
      <x:c r="A4" s="33" t="str">
        <x:v>主指标</x:v>
      </x:c>
      <x:c r="B4" s="33" t="str">
        <x:v>支付转化率</x:v>
      </x:c>
      <x:c r="C4" s="33" t="str">
        <x:v>支付人数/访客人数</x:v>
      </x:c>
      <x:c r="D4" s="33" t="str">
        <x:v>A/B 或改版前后对比</x:v>
      </x:c>
      <x:c r="E4" s="33" t="str">
        <x:v>所有阶段</x:v>
      </x:c>
      <x:c r="F4" s="40"/>
      <x:c r="G4" s="40"/>
      <x:c r="H4" s="40"/>
    </x:row>
    <x:row r="5">
      <x:c r="A5" s="34" t="str">
        <x:v>主指标</x:v>
      </x:c>
      <x:c r="B5" s="34" t="str">
        <x:v>加购率</x:v>
      </x:c>
      <x:c r="C5" s="34" t="str">
        <x:v>加购人数/访客人数</x:v>
      </x:c>
      <x:c r="D5" s="34" t="str">
        <x:v>判断详情页说服力</x:v>
      </x:c>
      <x:c r="E5" s="34" t="str">
        <x:v>所有阶段</x:v>
      </x:c>
      <x:c r="F5" s="40"/>
      <x:c r="G5" s="40"/>
      <x:c r="H5" s="40"/>
    </x:row>
    <x:row r="6">
      <x:c r="A6" s="33" t="str">
        <x:v>主指标</x:v>
      </x:c>
      <x:c r="B6" s="33" t="str">
        <x:v>平均停留时长</x:v>
      </x:c>
      <x:c r="C6" s="33" t="str">
        <x:v>用户浏览详情平均时长</x:v>
      </x:c>
      <x:c r="D6" s="33" t="str">
        <x:v>判断内容是否被消费</x:v>
      </x:c>
      <x:c r="E6" s="33" t="str">
        <x:v>所有阶段</x:v>
      </x:c>
      <x:c r="F6" s="40"/>
      <x:c r="G6" s="40"/>
      <x:c r="H6" s="40"/>
    </x:row>
    <x:row r="7">
      <x:c r="A7" s="34" t="str">
        <x:v>主指标</x:v>
      </x:c>
      <x:c r="B7" s="34" t="str">
        <x:v>支付人数</x:v>
      </x:c>
      <x:c r="C7" s="34" t="str">
        <x:v>实际成交用户数</x:v>
      </x:c>
      <x:c r="D7" s="34" t="str">
        <x:v>排除纯比例波动</x:v>
      </x:c>
      <x:c r="E7" s="34" t="str">
        <x:v>所有阶段</x:v>
      </x:c>
      <x:c r="F7" s="40"/>
      <x:c r="G7" s="40"/>
      <x:c r="H7" s="40"/>
    </x:row>
    <x:row r="8">
      <x:c r="A8" s="33" t="str">
        <x:v>次指标</x:v>
      </x:c>
      <x:c r="B8" s="33" t="str">
        <x:v>访客数</x:v>
      </x:c>
      <x:c r="C8" s="33" t="str">
        <x:v>页面访问规模</x:v>
      </x:c>
      <x:c r="D8" s="33" t="str">
        <x:v>判断样本是否充足</x:v>
      </x:c>
      <x:c r="E8" s="33" t="str">
        <x:v>测试阶段</x:v>
      </x:c>
      <x:c r="F8" s="40"/>
      <x:c r="G8" s="40"/>
      <x:c r="H8" s="40"/>
    </x:row>
    <x:row r="9">
      <x:c r="A9" s="34" t="str">
        <x:v>次指标</x:v>
      </x:c>
      <x:c r="B9" s="34" t="str">
        <x:v>客单价</x:v>
      </x:c>
      <x:c r="C9" s="34" t="str">
        <x:v>单笔订单SKU商品价格</x:v>
      </x:c>
      <x:c r="D9" s="34" t="str">
        <x:v>判断高价值商品承接</x:v>
      </x:c>
      <x:c r="E9" s="34" t="str">
        <x:v>进阶阶段</x:v>
      </x:c>
      <x:c r="F9" s="40"/>
      <x:c r="G9" s="40"/>
      <x:c r="H9" s="40"/>
    </x:row>
    <x:row r="10">
      <x:c r="A10" s="33" t="str">
        <x:v>次指标</x:v>
      </x:c>
      <x:c r="B10" s="33" t="str">
        <x:v>收藏/咨询率</x:v>
      </x:c>
      <x:c r="C10" s="33" t="str">
        <x:v>收藏或咨询行为比例</x:v>
      </x:c>
      <x:c r="D10" s="33" t="str">
        <x:v>判断兴趣与决策阻力</x:v>
      </x:c>
      <x:c r="E10" s="33" t="str">
        <x:v>进阶阶段</x:v>
      </x:c>
      <x:c r="F10" s="40"/>
      <x:c r="G10" s="40"/>
      <x:c r="H10" s="40"/>
    </x:row>
    <x:row r="11">
      <x:c r="A11" s="34" t="str">
        <x:v>风险指标</x:v>
      </x:c>
      <x:c r="B11" s="34" t="str">
        <x:v>退款/尺码退货率</x:v>
      </x:c>
      <x:c r="C11" s="34" t="str">
        <x:v>售后中尺码/不符原因比例</x:v>
      </x:c>
      <x:c r="D11" s="34" t="str">
        <x:v>判断尺码模块有效性</x:v>
      </x:c>
      <x:c r="E11" s="34" t="str">
        <x:v>长期阶段</x:v>
      </x:c>
      <x:c r="F11" s="40"/>
      <x:c r="G11" s="40"/>
      <x:c r="H11" s="40"/>
    </x:row>
    <x:row r="12">
      <x:c r="A12" s="33" t="str">
        <x:v>模块指标</x:v>
      </x:c>
      <x:c r="B12" s="33" t="str">
        <x:v>视频播放率</x:v>
      </x:c>
      <x:c r="C12" s="33" t="str">
        <x:v>视频播放/曝光</x:v>
      </x:c>
      <x:c r="D12" s="33" t="str">
        <x:v>判断动态素材价值</x:v>
      </x:c>
      <x:c r="E12" s="33" t="str">
        <x:v>动态素材测试</x:v>
      </x:c>
      <x:c r="F12" s="40"/>
      <x:c r="G12" s="40"/>
      <x:c r="H12" s="40"/>
    </x:row>
    <x:row r="13">
      <x:c r="A13" s="34" t="str">
        <x:v>模块指标</x:v>
      </x:c>
      <x:c r="B13" s="34" t="str">
        <x:v>尺码模块点击率</x:v>
      </x:c>
      <x:c r="C13" s="34" t="str">
        <x:v>尺码点击/曝光</x:v>
      </x:c>
      <x:c r="D13" s="34" t="str">
        <x:v>判断选码信息价值</x:v>
      </x:c>
      <x:c r="E13" s="34" t="str">
        <x:v>尺码优化</x:v>
      </x:c>
      <x:c r="F13" s="40"/>
      <x:c r="G13" s="40"/>
      <x:c r="H13" s="40"/>
    </x:row>
    <x:row r="14">
      <x:c r="A14" s="33" t="str">
        <x:v>模块指标</x:v>
      </x:c>
      <x:c r="B14" s="33" t="str">
        <x:v>推荐点击率</x:v>
      </x:c>
      <x:c r="C14" s="33" t="str">
        <x:v>推荐商品点击/曝光</x:v>
      </x:c>
      <x:c r="D14" s="33" t="str">
        <x:v>判断连带推荐价值</x:v>
      </x:c>
      <x:c r="E14" s="33" t="str">
        <x:v>推荐优化</x:v>
      </x:c>
      <x:c r="F14" s="40"/>
      <x:c r="G14" s="40"/>
      <x:c r="H14" s="40"/>
    </x:row>
    <x:row r="15">
      <x:c r="A15" s="34" t="str">
        <x:v>用户指标</x:v>
      </x:c>
      <x:c r="B15" s="34" t="str">
        <x:v>满意度/NPS</x:v>
      </x:c>
      <x:c r="C15" s="34" t="str">
        <x:v>问卷或访谈评分</x:v>
      </x:c>
      <x:c r="D15" s="34" t="str">
        <x:v>验证感知体验</x:v>
      </x:c>
      <x:c r="E15" s="34" t="str">
        <x:v>用户研究</x:v>
      </x:c>
      <x:c r="F15" s="40"/>
      <x:c r="G15" s="40"/>
      <x:c r="H15" s="40"/>
    </x:row>
    <x:row r="16">
      <x:c r="A16" s="33" t="str">
        <x:v>运营指标</x:v>
      </x:c>
      <x:c r="B16" s="33" t="str">
        <x:v>素材复用率</x:v>
      </x:c>
      <x:c r="C16" s="33" t="str">
        <x:v>已复用素材/总素材</x:v>
      </x:c>
      <x:c r="D16" s="33" t="str">
        <x:v>判断模块化效率</x:v>
      </x:c>
      <x:c r="E16" s="33" t="str">
        <x:v>长期自动化</x:v>
      </x:c>
      <x:c r="F16" s="40"/>
      <x:c r="G16" s="40"/>
      <x:c r="H16" s="40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.890000343322754" hidden="0" customWidth="1"/>
    <x:col min="2" max="2" width="21.110000610351562" hidden="0" customWidth="1"/>
    <x:col min="3" max="3" width="28.889999389648438" hidden="0" customWidth="1"/>
    <x:col min="4" max="4" width="31.110000610351562" hidden="0" customWidth="1"/>
    <x:col min="5" max="5" width="24.440000534057617" hidden="0" customWidth="1"/>
    <x:col min="6" max="6" width="18.889999389648438" hidden="0" customWidth="1"/>
  </x:cols>
  <x:sheetData>
    <x:row r="1" ht="33" customHeight="1">
      <x:c r="A1" s="39" t="str">
        <x:v>素材 Brief 优先级 | 从评分缺口反推素材需求</x:v>
      </x:c>
      <x:c r="B1" s="39" t="str">
        <x:v>素材 Brief 优先级 | 从评分缺口反推素材需求</x:v>
      </x:c>
      <x:c r="C1" s="39" t="str">
        <x:v>素材 Brief 优先级 | 从评分缺口反推素材需求</x:v>
      </x:c>
      <x:c r="D1" s="39" t="str">
        <x:v>素材 Brief 优先级 | 从评分缺口反推素材需求</x:v>
      </x:c>
      <x:c r="E1" s="39" t="str">
        <x:v>素材 Brief 优先级 | 从评分缺口反推素材需求</x:v>
      </x:c>
      <x:c r="F1" s="39" t="str">
        <x:v>素材 Brief 优先级 | 从评分缺口反推素材需求</x:v>
      </x:c>
      <x:c r="G1" s="39" t="str">
        <x:v>素材 Brief 优先级 | 从评分缺口反推素材需求</x:v>
      </x:c>
      <x:c r="H1" s="39" t="str">
        <x:v>素材 Brief 优先级 | 从评分缺口反推素材需求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1" t="str">
        <x:v>优先级</x:v>
      </x:c>
      <x:c r="B3" s="41" t="str">
        <x:v>素材类型</x:v>
      </x:c>
      <x:c r="C3" s="41" t="str">
        <x:v>解决的问题</x:v>
      </x:c>
      <x:c r="D3" s="41" t="str">
        <x:v>拍摄/生成要求</x:v>
      </x:c>
      <x:c r="E3" s="41" t="str">
        <x:v>适用模块</x:v>
      </x:c>
      <x:c r="F3" s="41" t="str">
        <x:v>备注</x:v>
      </x:c>
      <x:c r="G3" s="40"/>
      <x:c r="H3" s="40"/>
    </x:row>
    <x:row r="4">
      <x:c r="A4" s="33" t="str">
        <x:v>S</x:v>
      </x:c>
      <x:c r="B4" s="33" t="str">
        <x:v>模特场景图</x:v>
      </x:c>
      <x:c r="C4" s="33" t="str">
        <x:v>代入感、穿搭想象、使用场景</x:v>
      </x:c>
      <x:c r="D4" s="33" t="str">
        <x:v>全身为主，户外/室内/运动状态，人物占比清楚</x:v>
      </x:c>
      <x:c r="E4" s="33" t="str">
        <x:v>沉浸式购物、场景化</x:v>
      </x:c>
      <x:c r="F4" s="33" t="str">
        <x:v>最高优先级</x:v>
      </x:c>
      <x:c r="G4" s="40"/>
      <x:c r="H4" s="40"/>
    </x:row>
    <x:row r="5">
      <x:c r="A5" s="34" t="str">
        <x:v>A</x:v>
      </x:c>
      <x:c r="B5" s="34" t="str">
        <x:v>产品白底/纯色底图</x:v>
      </x:c>
      <x:c r="C5" s="34" t="str">
        <x:v>识别、细节、颜色、角度</x:v>
      </x:c>
      <x:c r="D5" s="34" t="str">
        <x:v>多角度、透明/纯色、鞋底鞋面关键角度</x:v>
      </x:c>
      <x:c r="E5" s="34" t="str">
        <x:v>细节查阅、基础信息</x:v>
      </x:c>
      <x:c r="F5" s="34" t="str">
        <x:v>基础素材</x:v>
      </x:c>
      <x:c r="G5" s="40"/>
      <x:c r="H5" s="40"/>
    </x:row>
    <x:row r="6">
      <x:c r="A6" s="33" t="str">
        <x:v>B</x:v>
      </x:c>
      <x:c r="B6" s="33" t="str">
        <x:v>产品场景图</x:v>
      </x:c>
      <x:c r="C6" s="33" t="str">
        <x:v>使用场景、功能语境、氛围</x:v>
      </x:c>
      <x:c r="D6" s="33" t="str">
        <x:v>结合地面、道具、运动轨迹或生活场景</x:v>
      </x:c>
      <x:c r="E6" s="33" t="str">
        <x:v>场景化、卖点证明</x:v>
      </x:c>
      <x:c r="F6" s="33" t="str">
        <x:v>补足情境</x:v>
      </x:c>
      <x:c r="G6" s="40"/>
      <x:c r="H6" s="40"/>
    </x:row>
    <x:row r="7">
      <x:c r="A7" s="34" t="str">
        <x:v>C</x:v>
      </x:c>
      <x:c r="B7" s="34" t="str">
        <x:v>特殊创意素材</x:v>
      </x:c>
      <x:c r="C7" s="34" t="str">
        <x:v>科技、结构、品牌记忆点</x:v>
      </x:c>
      <x:c r="D7" s="34" t="str">
        <x:v>爆炸图、手绘图、科技图、动效帧、AIGC创意</x:v>
      </x:c>
      <x:c r="E7" s="34" t="str">
        <x:v>产品互动、品牌背书</x:v>
      </x:c>
      <x:c r="F7" s="34" t="str">
        <x:v>适合高阶页</x:v>
      </x:c>
      <x:c r="G7" s="40"/>
      <x:c r="H7" s="40"/>
    </x:row>
    <x:row r="8">
      <x:c r="A8" s="33" t="str">
        <x:v>D</x:v>
      </x:c>
      <x:c r="B8" s="33" t="str">
        <x:v>个性化推荐素材</x:v>
      </x:c>
      <x:c r="C8" s="33" t="str">
        <x:v>连带购买、系列延伸</x:v>
      </x:c>
      <x:c r="D8" s="33" t="str">
        <x:v>同系列、同场景、穿搭组合、配件组合</x:v>
      </x:c>
      <x:c r="E8" s="33" t="str">
        <x:v>个性化推荐</x:v>
      </x:c>
      <x:c r="F8" s="33" t="str">
        <x:v>提升客单</x:v>
      </x:c>
      <x:c r="G8" s="40"/>
      <x:c r="H8" s="40"/>
    </x:row>
    <x:row r="9">
      <x:c r="A9" s="34" t="str">
        <x:v>E</x:v>
      </x:c>
      <x:c r="B9" s="34" t="str">
        <x:v>产品故事素材</x:v>
      </x:c>
      <x:c r="C9" s="34" t="str">
        <x:v>设计灵感、情绪价值</x:v>
      </x:c>
      <x:c r="D9" s="34" t="str">
        <x:v>产品海报、系列故事、灵感来源</x:v>
      </x:c>
      <x:c r="E9" s="34" t="str">
        <x:v>产品KV/故事</x:v>
      </x:c>
      <x:c r="F9" s="34" t="str">
        <x:v>增强品牌感</x:v>
      </x:c>
      <x:c r="G9" s="40"/>
      <x:c r="H9" s="40"/>
    </x:row>
    <x:row r="10">
      <x:c r="A10" s="33" t="str">
        <x:v>F</x:v>
      </x:c>
      <x:c r="B10" s="33" t="str">
        <x:v>品牌/产品背书素材</x:v>
      </x:c>
      <x:c r="C10" s="33" t="str">
        <x:v>信任、高价理由、专业度</x:v>
      </x:c>
      <x:c r="D10" s="33" t="str">
        <x:v>认证、奖项、运动员、机构、科技来源</x:v>
      </x:c>
      <x:c r="E10" s="33" t="str">
        <x:v>品牌/产品背书</x:v>
      </x:c>
      <x:c r="F10" s="33" t="str">
        <x:v>避免空泛</x:v>
      </x:c>
      <x:c r="G10" s="40"/>
      <x:c r="H10" s="40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.55999755859375" hidden="0" customWidth="1"/>
  </x:cols>
  <x:sheetData>
    <x:row r="1" ht="33" customHeight="1">
      <x:c r="A1" s="39" t="str">
        <x:v>来源与使用说明</x:v>
      </x:c>
      <x:c r="B1" s="39" t="str">
        <x:v>来源与使用说明</x:v>
      </x:c>
      <x:c r="C1" s="39" t="str">
        <x:v>来源与使用说明</x:v>
      </x:c>
      <x:c r="D1" s="39" t="str">
        <x:v>来源与使用说明</x:v>
      </x:c>
      <x:c r="E1" s="39" t="str">
        <x:v>来源与使用说明</x:v>
      </x:c>
      <x:c r="F1" s="39" t="str">
        <x:v>来源与使用说明</x:v>
      </x:c>
      <x:c r="G1" s="39" t="str">
        <x:v>来源与使用说明</x:v>
      </x:c>
      <x:c r="H1" s="39" t="str">
        <x:v>来源与使用说明</x:v>
      </x:c>
    </x:row>
    <x:row r="2">
      <x:c r="A2" s="40"/>
      <x:c r="B2" s="40"/>
      <x:c r="C2" s="40"/>
      <x:c r="D2" s="40"/>
      <x:c r="E2" s="40"/>
      <x:c r="F2" s="40"/>
      <x:c r="G2" s="40"/>
      <x:c r="H2" s="40"/>
    </x:row>
    <x:row r="3">
      <x:c r="A3" s="45" t="str">
        <x:v>输入文件</x:v>
      </x:c>
      <x:c r="B3" s="34" t="str">
        <x:v>详情页分值问题.xlsx：包含头图评分、详情评分、页面星级、PDP占比、停留vs转化、穿搭素材数据对比等表。</x:v>
      </x:c>
      <x:c r="C3" s="40"/>
      <x:c r="D3" s="40"/>
      <x:c r="E3" s="40"/>
      <x:c r="F3" s="40"/>
      <x:c r="G3" s="40"/>
      <x:c r="H3" s="40"/>
    </x:row>
    <x:row r="4">
      <x:c r="A4" s="45" t="str">
        <x:v>Figma链接</x:v>
      </x:c>
      <x:c r="B4" s="34" t="str">
        <x:v>02.nike详情页 设计调研，节点 2259:127。已尝试读取，但当前 Figma MCP 连续启动超时；本版先用 Excel 与已解析的同源 NIKE PDP 报告补全评分逻辑案例。</x:v>
      </x:c>
      <x:c r="C4" s="40"/>
      <x:c r="D4" s="40"/>
      <x:c r="E4" s="40"/>
      <x:c r="F4" s="40"/>
      <x:c r="G4" s="40"/>
      <x:c r="H4" s="40"/>
    </x:row>
    <x:row r="5">
      <x:c r="A5" s="45" t="str">
        <x:v>PDF参考</x:v>
      </x:c>
      <x:c r="B5" s="34" t="str">
        <x:v>参考.pdf：补足封面故事、沉浸式购物、细节查阅、基础信息、使用说明、关联推荐、品牌/产品背书等页面结构；汇报页面参考.pdf：补足素材类型与星级上限映射。</x:v>
      </x:c>
      <x:c r="C5" s="40"/>
      <x:c r="D5" s="40"/>
      <x:c r="E5" s="40"/>
      <x:c r="F5" s="40"/>
      <x:c r="G5" s="40"/>
      <x:c r="H5" s="40"/>
    </x:row>
    <x:row r="6">
      <x:c r="A6" s="45" t="str">
        <x:v>方法论来源</x:v>
      </x:c>
      <x:c r="B6" s="34" t="str">
        <x:v>PDP-DESIGN 六步法：Define / Evidence / Structure / Grade / Iterate / Validate。</x:v>
      </x:c>
      <x:c r="C6" s="40"/>
      <x:c r="D6" s="40"/>
      <x:c r="E6" s="40"/>
      <x:c r="F6" s="40"/>
      <x:c r="G6" s="40"/>
      <x:c r="H6" s="40"/>
    </x:row>
    <x:row r="7">
      <x:c r="A7" s="45" t="str">
        <x:v>评分口径</x:v>
      </x:c>
      <x:c r="B7" s="34" t="str">
        <x:v>0=缺失或无效；0.5=存在但弱；1=完整且有效。</x:v>
      </x:c>
      <x:c r="C7" s="40"/>
      <x:c r="D7" s="40"/>
      <x:c r="E7" s="40"/>
      <x:c r="F7" s="40"/>
      <x:c r="G7" s="40"/>
      <x:c r="H7" s="40"/>
    </x:row>
    <x:row r="8">
      <x:c r="A8" s="45" t="str">
        <x:v>核心原则</x:v>
      </x:c>
      <x:c r="B8" s="34" t="str">
        <x:v>页面丰富度不是变长，而是提升决策信息密度。每个模块都要回答一个购买问题。</x:v>
      </x:c>
      <x:c r="C8" s="40"/>
      <x:c r="D8" s="40"/>
      <x:c r="E8" s="40"/>
      <x:c r="F8" s="40"/>
      <x:c r="G8" s="40"/>
      <x:c r="H8" s="40"/>
    </x:row>
    <x:row r="9">
      <x:c r="A9" s="45" t="str">
        <x:v>适用范围</x:v>
      </x:c>
      <x:c r="B9" s="34" t="str">
        <x:v>鞋类、运动户外、品牌服饰、儿童服饰，以及其他消费品 PDP 诊断。</x:v>
      </x:c>
      <x:c r="C9" s="40"/>
      <x:c r="D9" s="40"/>
      <x:c r="E9" s="40"/>
      <x:c r="F9" s="40"/>
      <x:c r="G9" s="40"/>
      <x:c r="H9" s="40"/>
    </x:row>
    <x:row r="10">
      <x:c r="A10" s="45" t="str">
        <x:v>使用方式</x:v>
      </x:c>
      <x:c r="B10" s="34" t="str">
        <x:v>先填评分总表得到整体星级，再用头图/详情页评分表定位模块问题；评分不确定时，查阅“评分逻辑案例”“页面结构模板”“素材星级映射”。</x:v>
      </x:c>
      <x:c r="C10" s="40"/>
      <x:c r="D10" s="40"/>
      <x:c r="E10" s="40"/>
      <x:c r="F10" s="40"/>
      <x:c r="G10" s="40"/>
      <x:c r="H10" s="40"/>
    </x:row>
    <x:row r="11">
      <x:c r="A11" s="45" t="str">
        <x:v>验证方式</x:v>
      </x:c>
      <x:c r="B11" s="34" t="str">
        <x:v>改版后用支付转化率、加购率、停留时长、模块点击率和满意度做复盘。</x:v>
      </x:c>
      <x:c r="C11" s="40"/>
      <x:c r="D11" s="40"/>
      <x:c r="E11" s="40"/>
      <x:c r="F11" s="40"/>
      <x:c r="G11" s="40"/>
      <x:c r="H11" s="40"/>
    </x:row>
    <x:row r="12">
      <x:c r="A12" s="45" t="str">
        <x:v>下一步建议</x:v>
      </x:c>
      <x:c r="B12" s="34" t="str">
        <x:v>Figma 连接恢复后，可把画布中的真实截图坐标、竞品样例和 NIKE 样例补入案例库。</x:v>
      </x:c>
      <x:c r="C12" s="40"/>
      <x:c r="D12" s="40"/>
      <x:c r="E12" s="40"/>
      <x:c r="F12" s="40"/>
      <x:c r="G12" s="40"/>
      <x:c r="H12" s="40"/>
    </x:row>
  </x:sheetData>
  <x:mergeCells>
    <x:mergeCell ref="A1:H1"/>
  </x:mergeCells>
  <x:pageMargins left="0.7" right="0.7" top="0.75" bottom="0.75" header="0.3" footer="0.3"/>
</x:worksheet>
</file>